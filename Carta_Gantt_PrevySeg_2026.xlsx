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a Gantt" state="visible" r:id="rId4"/>
    <sheet sheetId="2" name="Hitos y Entregables" state="visible" r:id="rId5"/>
    <sheet sheetId="3" name="Control de Cambios" state="visible" r:id="rId6"/>
    <sheet sheetId="4" name="Guía de Uso y Edición" state="visible" r:id="rId7"/>
  </sheets>
  <calcPr calcId="171027"/>
</workbook>
</file>

<file path=xl/sharedStrings.xml><?xml version="1.0" encoding="utf-8"?>
<sst xmlns="http://schemas.openxmlformats.org/spreadsheetml/2006/main" count="494" uniqueCount="351">
  <si>
    <t>PREVYSEG 2026 — CRONOGRAMA MAESTRO Y CARTA GANTT (1 MES / 30 DÍAS + EXTENSIONES)</t>
  </si>
  <si>
    <t>Desarrollo de Plataforma Web Corporativa, Campus Virtual LMS, RBAC, Catálogos, Panel de Administración e Iteraciones</t>
  </si>
  <si>
    <t>MÉTRICAS DEL PROYECTO:</t>
  </si>
  <si>
    <t>Total Tareas &amp; Hitos</t>
  </si>
  <si>
    <t>Tareas Completadas</t>
  </si>
  <si>
    <t>En Progreso / Iteración</t>
  </si>
  <si>
    <t>Hitos Principales</t>
  </si>
  <si>
    <t>Avance Global Estimado</t>
  </si>
  <si>
    <t>WBS</t>
  </si>
  <si>
    <t>Fase / Módulo</t>
  </si>
  <si>
    <t>Tarea / Entregable / Hito</t>
  </si>
  <si>
    <t>Tipo</t>
  </si>
  <si>
    <t>Responsable</t>
  </si>
  <si>
    <t>F. Inicio</t>
  </si>
  <si>
    <t>F. Fin</t>
  </si>
  <si>
    <t>Días</t>
  </si>
  <si>
    <t>% Avance</t>
  </si>
  <si>
    <t>Estado</t>
  </si>
  <si>
    <t>Dependencias</t>
  </si>
  <si>
    <t>SEMANA 1 (Días 1 - 7)</t>
  </si>
  <si>
    <t>SEMANA 2 (Días 8 - 14)</t>
  </si>
  <si>
    <t>SEMANA 3 (Días 15 - 21)</t>
  </si>
  <si>
    <t>SEMANA 4 (Días 22 - 30)</t>
  </si>
  <si>
    <t>EXTENSIÓN / NUEVOS HITOS (Días 31 - 35)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</si>
  <si>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</si>
  <si>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</si>
  <si>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</si>
  <si>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</si>
  <si>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</si>
  <si>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</si>
  <si>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</si>
  <si>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</si>
  <si>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</si>
  <si>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</si>
  <si>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</si>
  <si>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</si>
  <si>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</si>
  <si>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</si>
  <si>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</si>
  <si>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</si>
  <si>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</si>
  <si>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</si>
  <si>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</si>
  <si>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</si>
  <si>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</si>
  <si>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</si>
  <si>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</si>
  <si>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</si>
  <si>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</si>
  <si>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</si>
  <si>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</si>
  <si>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</si>
  <si>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</si>
  <si>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</si>
  <si>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</si>
  <si>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</si>
  <si>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</si>
  <si>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</si>
  <si>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</si>
  <si>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FASE 1: LANDING PAGE CORPORATIVA Y EXPERIENCIA DE USUARIO (SEMANA 1)</t>
  </si>
  <si>
    <t>1.0</t>
  </si>
  <si>
    <t>Landing Page</t>
  </si>
  <si>
    <t>⭐ HITO 1: Landing Page Corporativa y Catálogos OS10 Operativos</t>
  </si>
  <si>
    <t>Hito ⭐</t>
  </si>
  <si>
    <t>PM / Fullstack</t>
  </si>
  <si>
    <t>Completado</t>
  </si>
  <si>
    <t>1.1, 1.2, 1.3</t>
  </si>
  <si>
    <t>⭐</t>
  </si>
  <si>
    <t>1.1</t>
  </si>
  <si>
    <t>Arquitectura Base</t>
  </si>
  <si>
    <t>Setup inicial de Vite 8, React 19, Tailwind v4 y React Router</t>
  </si>
  <si>
    <t>Configuración</t>
  </si>
  <si>
    <t>Dev Frontend</t>
  </si>
  <si>
    <t>-</t>
  </si>
  <si>
    <t>1.2</t>
  </si>
  <si>
    <t>Hero Section con llamados a la acción y Canvas Network Background</t>
  </si>
  <si>
    <t>Desarrollo UI</t>
  </si>
  <si>
    <t>1.3</t>
  </si>
  <si>
    <t>Módulos de Cursos OS10 (Formación, Perfeccionamiento) &amp; Modals interactivos</t>
  </si>
  <si>
    <t>1.4</t>
  </si>
  <si>
    <t>Secciones Quiénes Somos, Métricas, Metodología de Ejecución y Testimonios</t>
  </si>
  <si>
    <t>UX / UI Dev</t>
  </si>
  <si>
    <t>1.5</t>
  </si>
  <si>
    <t>Iteración / Contacto</t>
  </si>
  <si>
    <t>🔄 ITERACIÓN: Conexión directa de Formulario de Contacto a WhatsApp (+56978691869)</t>
  </si>
  <si>
    <t>Iteración</t>
  </si>
  <si>
    <t>Fullstack Dev</t>
  </si>
  <si>
    <t>🔄</t>
  </si>
  <si>
    <t>1.6</t>
  </si>
  <si>
    <t>QA &amp; Responsive</t>
  </si>
  <si>
    <t>Optimización Mobile, pruebas cross-browser y navegación fluida (ScrollToTop)</t>
  </si>
  <si>
    <t>QA / Optimización</t>
  </si>
  <si>
    <t>QA / Frontend</t>
  </si>
  <si>
    <t>FASE 2: CAMPUS VIRTUAL LMS &amp; SISTEMA DE AUTENTICACIÓN (SEMANA 2)</t>
  </si>
  <si>
    <t>2.0</t>
  </si>
  <si>
    <t>Campus Virtual LMS</t>
  </si>
  <si>
    <t>⭐ HITO 2: Plataforma LMS con Autenticación, Dashboard y Visor de Cursos</t>
  </si>
  <si>
    <t>2.1, 2.2, 2.3, 2.4</t>
  </si>
  <si>
    <t>2.1</t>
  </si>
  <si>
    <t>LMS Core</t>
  </si>
  <si>
    <t>Maquetación de LMSLayout (Sidebar colapsable, Topbar, navegación dinámica)</t>
  </si>
  <si>
    <t>2.2</t>
  </si>
  <si>
    <t>Seguridad / Auth</t>
  </si>
  <si>
    <t>Sistema de Autenticación de Usuarios (Login modal, estado de sesión, logout)</t>
  </si>
  <si>
    <t>Seguridad / Core</t>
  </si>
  <si>
    <t>2.3</t>
  </si>
  <si>
    <t>LMS Estudiante</t>
  </si>
  <si>
    <t>Desarrollo de Área Personal (PersonalAreaView) y Mis Cursos (MyCoursesView)</t>
  </si>
  <si>
    <t>2.4</t>
  </si>
  <si>
    <t>LMS Contenido</t>
  </si>
  <si>
    <t>Visor de Contenidos del Curso (CoursesView: Video, módulos, descargas)</t>
  </si>
  <si>
    <t>2.5</t>
  </si>
  <si>
    <t>LMS Gestión</t>
  </si>
  <si>
    <t>Tabla Dinámica de Participantes (ParticipantsView con filtros, notas y estados)</t>
  </si>
  <si>
    <t>Desarrollo UI/Data</t>
  </si>
  <si>
    <t>FASE 3: CONTROL DE ACCESO (RBAC), CAPACITACIONES EXTRAS Y BOLSA DE EMPLEO (SEMANA 3)</t>
  </si>
  <si>
    <t>3.0</t>
  </si>
  <si>
    <t>Módulos Avanzados</t>
  </si>
  <si>
    <t>⭐ HITO 3: Sistema RBAC (Student/Admin), Bolsa de Empleo y Capacitaciones</t>
  </si>
  <si>
    <t>3.1, 3.2, 3.3</t>
  </si>
  <si>
    <t>3.1</t>
  </si>
  <si>
    <t>RBAC / Roles</t>
  </si>
  <si>
    <t>🔄 ITERACIÓN: Implementación de Roles (ADMIN vs STUDENT) y filtrado de menús</t>
  </si>
  <si>
    <t>Iteración / RBAC</t>
  </si>
  <si>
    <t>3.2</t>
  </si>
  <si>
    <t>Catálogo Extra</t>
  </si>
  <si>
    <t>Módulo de Capacitaciones Extras (ExtraCoursesView con filtros, precios, SENCE)</t>
  </si>
  <si>
    <t>3.3</t>
  </si>
  <si>
    <t>Bolsa de Empleo</t>
  </si>
  <si>
    <t>Portal de Bolsa de Empleo (JobBoardView: Vacantes de seguridad y postulación)</t>
  </si>
  <si>
    <t>3.4</t>
  </si>
  <si>
    <t>Bancos Académicos</t>
  </si>
  <si>
    <t>Vistas de Banco de Contenidos, Banco de Preguntas y Ajustes de Cuenta</t>
  </si>
  <si>
    <t>3.2, 3.3</t>
  </si>
  <si>
    <t>FASE 4: ADMINISTRACIÓN DEL SITIO (15 MÓDULOS), REPORTES Y PREPARACIÓN BACKEND (SEMANA 4)</t>
  </si>
  <si>
    <t>4.0</t>
  </si>
  <si>
    <t>Admin &amp; Backend</t>
  </si>
  <si>
    <t>⭐ HITO 4: Panel de Administración 15 Módulos, Reportes y Marcadores BD</t>
  </si>
  <si>
    <t>4.1, 4.2, 4.3, 4.4</t>
  </si>
  <si>
    <t>4.1</t>
  </si>
  <si>
    <t>Admin Panel</t>
  </si>
  <si>
    <t>Panel de Administración del Sitio (SiteAdminView con 15 categorías desplegables)</t>
  </si>
  <si>
    <t>Desarrollo Admin</t>
  </si>
  <si>
    <t>4.2</t>
  </si>
  <si>
    <t>Analíticas</t>
  </si>
  <si>
    <t>Módulo de Informes y Reportes de Rendimiento Académico (ReportsView)</t>
  </si>
  <si>
    <t>4.3</t>
  </si>
  <si>
    <t>Arquitectura BD</t>
  </si>
  <si>
    <t>🔄 ITERACIÓN: Estandarización de Endpoints y Marcadores Backend /////AGREGAR BD///</t>
  </si>
  <si>
    <t>Iteración / Backend</t>
  </si>
  <si>
    <t>Backend Dev</t>
  </si>
  <si>
    <t>4.1, 4.2</t>
  </si>
  <si>
    <t>4.4</t>
  </si>
  <si>
    <t>Auditoría &amp; QA</t>
  </si>
  <si>
    <t>Pruebas E2E de Flujos de Usuario, consistencia visual y control de errores</t>
  </si>
  <si>
    <t>QA &amp; Testing</t>
  </si>
  <si>
    <t>QA Tester</t>
  </si>
  <si>
    <t>4.5</t>
  </si>
  <si>
    <t>UI/UX &amp; Temas</t>
  </si>
  <si>
    <t>🔄 ITERACIÓN: Modo Claro con Fondo Blanco Puro (#ffffff) y Modo Oscuro Original (#18191c)</t>
  </si>
  <si>
    <t>Iteración / UI</t>
  </si>
  <si>
    <t>FASE 5: PRÓXIMAS INCORPORACIONES, INTEGRACIÓN BACKEND Y NUEVAS ITERACIONES (EDITABLE)</t>
  </si>
  <si>
    <t>5.0</t>
  </si>
  <si>
    <t>Extensión Mes 1+</t>
  </si>
  <si>
    <t>⭐ HITO 5: Despliegue en Producción con Base de Datos Real y Pagos Online</t>
  </si>
  <si>
    <t>PM / Arquitecto</t>
  </si>
  <si>
    <t>En Progreso</t>
  </si>
  <si>
    <t>5.1, 5.2, 5.3</t>
  </si>
  <si>
    <t>5.1</t>
  </si>
  <si>
    <t>Backend &amp; BD</t>
  </si>
  <si>
    <t>[NUEVA TAREA]: Conexión de API REST y Base de Datos PostgreSQL/Supabase en endpoints</t>
  </si>
  <si>
    <t>Backend / BD</t>
  </si>
  <si>
    <t>5.2</t>
  </si>
  <si>
    <t>Pasarela Pagos</t>
  </si>
  <si>
    <t>[NUEVA TAREA]: Integración de Pasarela de Pagos (Webpay Plus / Transbank / MercadoPago)</t>
  </si>
  <si>
    <t>Integración</t>
  </si>
  <si>
    <t>Pendiente</t>
  </si>
  <si>
    <t>5.3</t>
  </si>
  <si>
    <t>Certificación QR</t>
  </si>
  <si>
    <t>[NUEVA TAREA]: Generador automático de Diplomas OS10 en PDF con Código QR de validación</t>
  </si>
  <si>
    <t>Desarrollo</t>
  </si>
  <si>
    <t>5.4</t>
  </si>
  <si>
    <t>Notificaciones</t>
  </si>
  <si>
    <t>[NUEVA TAREA]: Sistema de alertas de vencimiento de credenciales OS10 por Email/SMS</t>
  </si>
  <si>
    <t>5.5</t>
  </si>
  <si>
    <t>Personalizado</t>
  </si>
  <si>
    <t>[ESPACIO EDITABLE]: Agregue aquí su próximo requerimiento o iteración personalizada</t>
  </si>
  <si>
    <t>A Definir</t>
  </si>
  <si>
    <t>Por Asignar</t>
  </si>
  <si>
    <t>Planificado</t>
  </si>
  <si>
    <t>5.6</t>
  </si>
  <si>
    <t>Nueva Tarea / Módulo</t>
  </si>
  <si>
    <t>[Escriba aquí la descripción de su nueva tarea 1]</t>
  </si>
  <si>
    <t>5.7</t>
  </si>
  <si>
    <t>[Escriba aquí la descripción de su nueva tarea 2]</t>
  </si>
  <si>
    <t>5.8</t>
  </si>
  <si>
    <t>[Escriba aquí la descripción de su nueva tarea 3]</t>
  </si>
  <si>
    <t>5.9</t>
  </si>
  <si>
    <t>[Escriba aquí la descripción de su nueva tarea 4]</t>
  </si>
  <si>
    <t>5.10</t>
  </si>
  <si>
    <t>[Escriba aquí la descripción de su nueva tarea 5]</t>
  </si>
  <si>
    <t>Simbología y Convenciones:</t>
  </si>
  <si>
    <t>⭐ Hito Clave / Entregable</t>
  </si>
  <si>
    <t>🔄 Iteración / Refactor / Ajuste</t>
  </si>
  <si>
    <t>■ Tarea Completada (100%)</t>
  </si>
  <si>
    <t>■ Tarea En Progreso</t>
  </si>
  <si>
    <t>■ Tarea Planificada / Pendiente</t>
  </si>
  <si>
    <t>■ Días de Extensión Mes 1+</t>
  </si>
  <si>
    <t>PREVYSEG 2026 — MATRIZ EJECUTIVA DE HITOS Y ENTREGABLES</t>
  </si>
  <si>
    <t>Hito #</t>
  </si>
  <si>
    <t>Nombre del Hito</t>
  </si>
  <si>
    <t>Fecha Límite</t>
  </si>
  <si>
    <t>Entregables Clave Verificables</t>
  </si>
  <si>
    <t>Criterios de Aceptación</t>
  </si>
  <si>
    <t>Impacto / Valor de Negocio</t>
  </si>
  <si>
    <t>HITO 1</t>
  </si>
  <si>
    <t>Landing Page Corporativa &amp; Catálogo OS10</t>
  </si>
  <si>
    <t>07/09/2026</t>
  </si>
  <si>
    <t xml:space="preserve">• Header responsive + Hero + Canvas interactivo
• Catálogo Cursos OS10 (Formación y Perfeccionamiento)
• Modales detallados con precios, requisitos y fechas
• Formulario de contacto conectado directo a WhatsApp API
• Secciones Quiénes Somos, Métricas, Metodología y Footer</t>
  </si>
  <si>
    <t>Aprobación visual 100% responsive en desktop/mobile, navegación fluida y envío correcto de mensajes a WhatsApp.</t>
  </si>
  <si>
    <t>Presencia digital profesional y canal de captación comercial directo para cursos de seguridad privada.</t>
  </si>
  <si>
    <t>HITO 2</t>
  </si>
  <si>
    <t>Campus Virtual LMS &amp; Autenticación</t>
  </si>
  <si>
    <t>14/09/2026</t>
  </si>
  <si>
    <t xml:space="preserve">• LMSLayout con Sidebar colapsable y navegación fluida
• Sistema de Auth con Login modal y estado de sesión
• Área Personal (PersonalAreaView) con resumen de avance
• Mis Cursos (MyCoursesView) con tarjetas y progreso
• Visor de Cursos (CoursesView) con videos y descargas
• Tabla dinámica de Participantes con filtros y notas</t>
  </si>
  <si>
    <t>Flujo de autenticación completo, navegación sin recargas, carga de materiales didácticos y control de alumnos.</t>
  </si>
  <si>
    <t>Plataforma educativa interactiva que permite impartir capacitaciones sincrónicas y asincrónicas.</t>
  </si>
  <si>
    <t>HITO 3</t>
  </si>
  <si>
    <t>Control RBAC, Bolsa Empleo y Cursos Extras</t>
  </si>
  <si>
    <t>21/09/2026</t>
  </si>
  <si>
    <t xml:space="preserve">• RBAC: Control de roles STUDENT (Estudiante) y ADMIN
• Filtrado dinámico de menú según rol activo + Role Switcher
• Módulo de Capacitaciones Extras con códigos SENCE
• Portal de Bolsa de Empleo en Seguridad con postulaciones
• Vistas de Banco de Preguntas, Contenidos y Ajustes</t>
  </si>
  <si>
    <t>Restricción de vistas administrativas a alumnos, catálogo extra filtrable por categoría y postulación funcional.</t>
  </si>
  <si>
    <t>Ampliación de la oferta académica, intermediación laboral para guardias y seguridad en el acceso por roles.</t>
  </si>
  <si>
    <t>HITO 4</t>
  </si>
  <si>
    <t>Panel de Administración (15 Módulos) &amp; Backend</t>
  </si>
  <si>
    <t>30/09/2026</t>
  </si>
  <si>
    <t xml:space="preserve">• SiteAdminView con 15 categorías desplegables de configuración
• Módulo de Informes y Reportes de Rendimiento Académico
• Marcadores y estandarización /////AGREGAR BD/DOMINIO AQUI///
• URLs y endpoints REST preparados para backend
• Suite de componentes y testing de rendimiento</t>
  </si>
  <si>
    <t>Configuración granular del sitio operativa, informes exportables y arquitectura desacoplada lista para API REST.</t>
  </si>
  <si>
    <t>Control total del administrador sobre usuarios, cursos y servidor, con base técnica sólida para producción.</t>
  </si>
  <si>
    <t>HITO 5</t>
  </si>
  <si>
    <t>Despliegue Producción con BD Real &amp; Pagos (Extensión)</t>
  </si>
  <si>
    <t>05/10/2026</t>
  </si>
  <si>
    <t xml:space="preserve">• Conexión de API REST con Base de Datos PostgreSQL/Supabase
• Pasarela de pagos Webpay Plus / Transbank / MercadoPago
• Emisión de Certificados OS10 en PDF con Código QR
• Notificaciones automáticas de vigencia de acreditaciones</t>
  </si>
  <si>
    <t>Transacciones de pago exitosas, sincronización bidireccional con base de datos y validación pública de diplomas.</t>
  </si>
  <si>
    <t>Automatización total del ciclo comercial y emisión de certificaciones oficiales reconocidas.</t>
  </si>
  <si>
    <t>PREVYSEG 2026 — REGISTRO HISTÓRICO DE CAMBIOS, ITERACIONES Y REFACTORIZACIONES</t>
  </si>
  <si>
    <t>Iteración / Versión</t>
  </si>
  <si>
    <t>Fecha</t>
  </si>
  <si>
    <t>Componente / Archivo</t>
  </si>
  <si>
    <t>Tipo de Cambio</t>
  </si>
  <si>
    <t>Descripción Detallada del Cambio</t>
  </si>
  <si>
    <t>Motivo / Necesidad</t>
  </si>
  <si>
    <t>Impacto en el Sistema</t>
  </si>
  <si>
    <t>v1.0.0</t>
  </si>
  <si>
    <t>03/09/2026</t>
  </si>
  <si>
    <t>Landing Page Completa (Components/*)</t>
  </si>
  <si>
    <t>Nueva Funcionalidad</t>
  </si>
  <si>
    <t>Replicación y diseño moderno de la plataforma PrevySeg con Hero, Cursos OS10, Métricas, Quiénes Somos y Modales.</t>
  </si>
  <si>
    <t>Lanzamiento de presencia digital oficial y presentación de cursos de seguridad.</t>
  </si>
  <si>
    <t>Base estructural del sitio y captación de clientes.</t>
  </si>
  <si>
    <t>Implementado</t>
  </si>
  <si>
    <t>v1.1.0</t>
  </si>
  <si>
    <t>08/09/2026</t>
  </si>
  <si>
    <t>src/lms/LMSLayout.jsx, views/*</t>
  </si>
  <si>
    <t>Implementación completa del Campus Virtual LMS con navegación modular, visor de clases y gestión de participantes.</t>
  </si>
  <si>
    <t>Requerimiento de dictar cursos y evaluar alumnos online.</t>
  </si>
  <si>
    <t>Incorporación de plataforma e-learning operativa.</t>
  </si>
  <si>
    <t>v1.2.0</t>
  </si>
  <si>
    <t>12/09/2026</t>
  </si>
  <si>
    <t>src/lms/views/PersonalAreaView.jsx, MyCoursesView.jsx</t>
  </si>
  <si>
    <t>Mejora UI / UX</t>
  </si>
  <si>
    <t>Creación de vistas de Área Personal y Mis Cursos con tarjetas de avance porcentual y acceso rápido a certificados.</t>
  </si>
  <si>
    <t>Facilitar la experiencia del estudiante y seguimiento de cursos.</t>
  </si>
  <si>
    <t>Mayor retención y usabilidad para alumnos inscritos.</t>
  </si>
  <si>
    <t>v1.3.0</t>
  </si>
  <si>
    <t>18/09/2026</t>
  </si>
  <si>
    <t>src/lms/views/SiteAdminView.jsx</t>
  </si>
  <si>
    <t>Funcionalidad Core</t>
  </si>
  <si>
    <t>Implementación del panel de Administración del Sitio con 15 categorías desplegables (Usuarios, Cursos, Extensiones, etc.).</t>
  </si>
  <si>
    <t>Centralizar toda la configuración de la academia en una interfaz única.</t>
  </si>
  <si>
    <t>Autonomía administrativa completa para el operador.</t>
  </si>
  <si>
    <t>v1.4.0</t>
  </si>
  <si>
    <t>22/09/2026</t>
  </si>
  <si>
    <t>src/lms/LMSLayout.jsx, views/ExtraCoursesView.jsx, JobBoardView.jsx</t>
  </si>
  <si>
    <t>Implementación de control de acceso RBAC (ADMIN vs STUDENT), catálogo de Capacitaciones Extras y Bolsa de Empleo en Seguridad.</t>
  </si>
  <si>
    <t>Separación estricta de privilegios de estudiante y expansión de servicios laborales y formativos.</t>
  </si>
  <si>
    <t>Seguridad en vistas sensibles y nuevos flujos de valor para egresados.</t>
  </si>
  <si>
    <t>v1.5.0</t>
  </si>
  <si>
    <t>28/09/2026</t>
  </si>
  <si>
    <t>src/components/ContactFooter.jsx</t>
  </si>
  <si>
    <t>Iteración / Integración</t>
  </si>
  <si>
    <t>Integración directa del formulario de contacto hacia WhatsApp API (+56 9 7869 1869) con mensaje pre-formateado.</t>
  </si>
  <si>
    <t>Agilizar la conversión comercial sin depender de servidores de correo intermedios.</t>
  </si>
  <si>
    <t>Atención inmediata de prospectos en el canal móvil oficial.</t>
  </si>
  <si>
    <t>v1.6.0</t>
  </si>
  <si>
    <t>src/lms/views/ExtraCoursesView.jsx, LMSLayout.jsx</t>
  </si>
  <si>
    <t>Preparación Backend</t>
  </si>
  <si>
    <t>Estandarización de endpoints y comentarios /////AGREGAR BASE DE DATOS/DOMINIO AQUI/// para conexión con backend API.</t>
  </si>
  <si>
    <t>Dejar el código preparado para una transición fluida hacia bases de datos de producción.</t>
  </si>
  <si>
    <t>Facilidad de integración para desarrolladores backend.</t>
  </si>
  <si>
    <t>v1.7.0</t>
  </si>
  <si>
    <t>02/09/2026</t>
  </si>
  <si>
    <t>src/context/ThemeContext.jsx, components/ThemeToggle.jsx, NetworkBackground.jsx</t>
  </si>
  <si>
    <t>Iteración / UI/UX</t>
  </si>
  <si>
    <t>Implementación de selector de temas: Modo Oscuro Original intacto (#18191c) y nuevo Modo Claro con fondo blanco puro (#ffffff) y alto contraste tipográfico.</t>
  </si>
  <si>
    <t>Permitir al usuario alternar a un fondo blanco puro sin alterar la identidad ni los colores originales del modo oscuro.</t>
  </si>
  <si>
    <t>Máxima versatilidad visual y legibilidad en entornos diurnos y nocturnos.</t>
  </si>
  <si>
    <t>v1.8.0</t>
  </si>
  <si>
    <t>src/components/Services.jsx, Modals.jsx, lms/views/CoursesView.jsx</t>
  </si>
  <si>
    <t>Catálogo &amp; Pricing</t>
  </si>
  <si>
    <t>Actualización total del catálogo de cursos con los 11 programas oficiales de la plataforma Moodle/SENCE, portadas visuales idénticas, títulos oficiales sin descripción y visualización de precios en la parte inferior.</t>
  </si>
  <si>
    <t>Alinear la oferta académica pública y del campus virtual con los cursos reales autorizados por SENCE y OS-10.</t>
  </si>
  <si>
    <t>Información transparente de costos, códigos SENCE y matrículas directas para personas y empresas.</t>
  </si>
  <si>
    <t>v1.9.0 (Futuro)</t>
  </si>
  <si>
    <t>Backend API / Base de Datos</t>
  </si>
  <si>
    <t>Próxima Iteración</t>
  </si>
  <si>
    <t>Conexión a base de datos PostgreSQL, pasarela de pagos Webpay y generación de certificados con código QR.</t>
  </si>
  <si>
    <t>Automatización total de matrículas y validación pública de alumnos.</t>
  </si>
  <si>
    <t>Plataforma 100% autoservicio.</t>
  </si>
  <si>
    <t>En Planificación</t>
  </si>
  <si>
    <t>GUÍA RÁPIDA: CÓMO MODIFICAR Y AGREGAR NUEVAS TAREAS A ESTA CARTA GANTT</t>
  </si>
  <si>
    <t>Paso #</t>
  </si>
  <si>
    <t>Acción / Tema</t>
  </si>
  <si>
    <t>Instrucción Detallada</t>
  </si>
  <si>
    <t>Consejo / Fórmula</t>
  </si>
  <si>
    <t>Ejemplo</t>
  </si>
  <si>
    <t>1</t>
  </si>
  <si>
    <t>Agregar Nuevas Tareas</t>
  </si>
  <si>
    <t>En la hoja "Carta Gantt", desplácese a la FASE 5 (filas 38 en adelante). Se han dejado 5 filas pre-configuradas listas para escribir su nueva tarea, responsable, fechas de inicio y fin.</t>
  </si>
  <si>
    <t>La columna "Días" calcula automáticamente la duración: =Fin - Inicio + 1.</t>
  </si>
  <si>
    <t>Tarea: Integración Supabase Auth</t>
  </si>
  <si>
    <t>2</t>
  </si>
  <si>
    <t>Pintar las Barras Gantt</t>
  </si>
  <si>
    <t xml:space="preserve">Para marcar los días activos de su nueva tarea, seleccione las celdas de los días correspondientes (columnas L a AK) y aplique el color de relleno según su estado:
• Verde (#86EFAC): Tarea Completada
• Celeste (#7DD3FC): En Progreso
• Gris (#CBD5E1): Planificada
• Amarillo (#F59E0B) + "⭐": Hito Clave</t>
  </si>
  <si>
    <t>Puede usar "Copiar Formato" de Excel para pintar rápidamente varias celdas.</t>
  </si>
  <si>
    <t>Relleno celeste para D31 a D34</t>
  </si>
  <si>
    <t>3</t>
  </si>
  <si>
    <t>Actualizar Porcentajes</t>
  </si>
  <si>
    <t>Cambie el valor en la columna "% Avance" (Columna I). Los indicadores KPI del encabezado calcularán automáticamente el promedio global del proyecto.</t>
  </si>
  <si>
    <t>Escriba números directos (ej: 0.5 para 50%, 1.0 para 100%).</t>
  </si>
  <si>
    <t>0.75 -&gt; 75%</t>
  </si>
  <si>
    <t>4</t>
  </si>
  <si>
    <t>Extender más allá del Mes 1</t>
  </si>
  <si>
    <t>Las columnas AP a AK (Días 31 a 35) corresponden a la semana de extensión. Si necesita agregar más días, inserte nuevas columnas a la derecha y copie el formato del encabezado.</t>
  </si>
  <si>
    <t>Los paneles inmovilizados le permitirán desplazarse horizontalmente sin perder de vista los nombres de las tareas.</t>
  </si>
  <si>
    <t>Insertar columna AL para Día 36</t>
  </si>
  <si>
    <t>5</t>
  </si>
  <si>
    <t>Registrar Nuevas Iteraciones</t>
  </si>
  <si>
    <t>Cuando agregue cambios importantes de código, regístrelos en la hoja "Control de Cambios" para mantener una trazabilidad profesional con su cliente o equipo.</t>
  </si>
  <si>
    <t>Mantenga al día la columna "Impacto en el Sistema".</t>
  </si>
  <si>
    <t>v1.8.0 - Pasarela de pago Transbank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</si>
</sst>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36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i/>
      <color rgb="E2E8F0"/>
      <sz val="11"/>
      <name val="Segoe UI"/>
    </font>
    <font>
      <b/>
      <color rgb="0F172A"/>
      <sz val="10"/>
      <name val="Segoe UI"/>
    </font>
    <font>
      <color rgb="475569"/>
      <sz val="9"/>
      <name val="Segoe UI"/>
    </font>
    <font>
      <b/>
      <color rgb="2563EB"/>
      <sz val="14"/>
      <name val="Segoe UI"/>
    </font>
    <font>
      <b/>
      <color rgb="16A34A"/>
      <sz val="14"/>
      <name val="Segoe UI"/>
    </font>
    <font>
      <b/>
      <color rgb="0284C7"/>
      <sz val="14"/>
      <name val="Segoe UI"/>
    </font>
    <font>
      <b/>
      <color rgb="D97706"/>
      <sz val="14"/>
      <name val="Segoe UI"/>
    </font>
    <font>
      <b/>
      <color rgb="0F172A"/>
      <sz val="14"/>
      <name val="Segoe UI"/>
    </font>
    <font>
      <b/>
      <color rgb="FFFFFF"/>
      <sz val="10"/>
      <name val="Segoe UI"/>
    </font>
    <font>
      <b/>
      <color rgb="334155"/>
      <sz val="8"/>
      <name val="Segoe UI"/>
    </font>
    <font>
      <b/>
      <color rgb="0F766E"/>
      <sz val="8"/>
      <name val="Segoe UI"/>
    </font>
    <font>
      <b/>
      <color rgb="78350F"/>
      <sz val="9"/>
      <name val="Segoe UI"/>
    </font>
    <font>
      <b/>
      <color rgb="166534"/>
      <sz val="9"/>
      <name val="Segoe UI"/>
    </font>
    <font>
      <b/>
      <sz val="10"/>
      <name val="Segoe UI"/>
    </font>
    <font>
      <color rgb="1E293B"/>
      <sz val="9"/>
      <name val="Segoe UI"/>
    </font>
    <font>
      <color rgb="1E3A8A"/>
      <sz val="9"/>
      <name val="Segoe UI"/>
    </font>
    <font>
      <sz val="8"/>
      <name val="Segoe UI"/>
    </font>
    <font>
      <b/>
      <color rgb="0369A1"/>
      <sz val="9"/>
      <name val="Segoe UI"/>
    </font>
    <font>
      <color rgb="64748B"/>
      <sz val="9"/>
      <name val="Segoe UI"/>
    </font>
    <font>
      <i/>
      <color rgb="64748B"/>
      <sz val="9"/>
      <name val="Segoe UI"/>
    </font>
    <font>
      <b/>
      <color rgb="78350F"/>
      <sz val="8.5"/>
      <name val="Segoe UI"/>
    </font>
    <font>
      <b/>
      <color rgb="1E3A8A"/>
      <sz val="8.5"/>
      <name val="Segoe UI"/>
    </font>
    <font>
      <b/>
      <color rgb="166534"/>
      <sz val="8.5"/>
      <name val="Segoe UI"/>
    </font>
    <font>
      <b/>
      <color rgb="0369A1"/>
      <sz val="8.5"/>
      <name val="Segoe UI"/>
    </font>
    <font>
      <b/>
      <color rgb="475569"/>
      <sz val="8.5"/>
      <name val="Segoe UI"/>
    </font>
    <font>
      <b/>
      <color rgb="0F766E"/>
      <sz val="8.5"/>
      <name val="Segoe UI"/>
    </font>
    <font>
      <b/>
      <color rgb="FFFFFF"/>
      <sz val="15"/>
      <name val="Segoe UI"/>
    </font>
    <font>
      <b/>
      <color rgb="D97706"/>
      <sz val="10"/>
      <name val="Segoe UI"/>
    </font>
    <font>
      <color rgb="1E293B"/>
      <sz val="9.5"/>
      <name val="Segoe UI"/>
    </font>
    <font>
      <b/>
      <color rgb="166534"/>
      <sz val="9.5"/>
      <name val="Segoe UI"/>
    </font>
    <font>
      <b/>
      <color rgb="0369A1"/>
      <sz val="9.5"/>
      <name val="Segoe UI"/>
    </font>
    <font>
      <b/>
      <color rgb="2563EB"/>
      <sz val="9.5"/>
      <name val="Segoe UI"/>
    </font>
    <font>
      <b/>
      <color rgb="B45309"/>
      <sz val="9.5"/>
      <name val="Segoe UI"/>
    </font>
    <font>
      <b/>
      <color rgb="2563EB"/>
      <sz val="11"/>
      <name val="Segoe UI"/>
    </font>
  </fonts>
  <fills count="24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F8FAFC"/>
      </patternFill>
    </fill>
    <fill>
      <patternFill patternType="solid">
        <fgColor rgb="1E3A8A"/>
      </patternFill>
    </fill>
    <fill>
      <patternFill patternType="solid">
        <fgColor rgb="1D4ED8"/>
      </patternFill>
    </fill>
    <fill>
      <patternFill patternType="solid">
        <fgColor rgb="2563EB"/>
      </patternFill>
    </fill>
    <fill>
      <patternFill patternType="solid">
        <fgColor rgb="3B82F6"/>
      </patternFill>
    </fill>
    <fill>
      <patternFill patternType="solid">
        <fgColor rgb="0D9488"/>
      </patternFill>
    </fill>
    <fill>
      <patternFill patternType="solid">
        <fgColor rgb="E2E8F0"/>
      </patternFill>
    </fill>
    <fill>
      <patternFill patternType="solid">
        <fgColor rgb="F1F5F9"/>
      </patternFill>
    </fill>
    <fill>
      <patternFill patternType="solid">
        <fgColor rgb="CCFBF1"/>
      </patternFill>
    </fill>
    <fill>
      <patternFill patternType="solid">
        <fgColor rgb="FEF3C7"/>
      </patternFill>
    </fill>
    <fill>
      <patternFill patternType="solid">
        <fgColor rgb="DCFCE7"/>
      </patternFill>
    </fill>
    <fill>
      <patternFill patternType="solid">
        <fgColor rgb="F59E0B"/>
      </patternFill>
    </fill>
    <fill>
      <patternFill patternType="solid">
        <fgColor rgb="F0FDFA"/>
      </patternFill>
    </fill>
    <fill>
      <patternFill patternType="solid">
        <fgColor rgb="86EFAC"/>
      </patternFill>
    </fill>
    <fill>
      <patternFill patternType="solid">
        <fgColor rgb="EFF6FF"/>
      </patternFill>
    </fill>
    <fill>
      <patternFill patternType="solid">
        <fgColor rgb="93C5FD"/>
      </patternFill>
    </fill>
    <fill>
      <patternFill patternType="solid">
        <fgColor rgb="E0F2FE"/>
      </patternFill>
    </fill>
    <fill>
      <patternFill patternType="solid">
        <fgColor rgb="7DD3FC"/>
      </patternFill>
    </fill>
    <fill>
      <patternFill patternType="solid">
        <fgColor rgb="CBD5E1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334155"/>
      </left>
      <right style="thin">
        <color rgb="334155"/>
      </right>
      <top style="medium">
        <color rgb="0F172A"/>
      </top>
      <bottom style="medium">
        <color rgb="0F172A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4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164" fontId="9" fillId="4" borderId="1" xfId="0" applyNumberFormat="1" applyFont="1" applyFill="1" applyBorder="1" applyAlignment="1">
      <alignment horizontal="center"/>
    </xf>
    <xf numFmtId="0" fontId="10" fillId="5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0" fontId="10" fillId="5" borderId="0" xfId="0" applyFont="1" applyFill="1" applyAlignment="1">
      <alignment vertical="center" indent="1"/>
    </xf>
    <xf numFmtId="0" fontId="13" fillId="13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vertical="center"/>
    </xf>
    <xf numFmtId="165" fontId="13" fillId="13" borderId="1" xfId="0" applyNumberFormat="1" applyFont="1" applyFill="1" applyBorder="1" applyAlignment="1">
      <alignment horizontal="center" vertical="center"/>
    </xf>
    <xf numFmtId="1" fontId="13" fillId="13" borderId="1" xfId="0" applyNumberFormat="1" applyFont="1" applyFill="1" applyBorder="1" applyAlignment="1">
      <alignment horizontal="center" vertical="center"/>
    </xf>
    <xf numFmtId="9" fontId="13" fillId="13" borderId="1" xfId="0" applyNumberFormat="1" applyFont="1" applyFill="1" applyBorder="1" applyAlignment="1">
      <alignment horizontal="center" vertical="center"/>
    </xf>
    <xf numFmtId="0" fontId="14" fillId="14" borderId="1" xfId="0" applyFont="1" applyFill="1" applyBorder="1" applyAlignment="1">
      <alignment horizontal="center" vertical="center"/>
    </xf>
    <xf numFmtId="0" fontId="0" fillId="0" borderId="1" xfId="0" applyBorder="1"/>
    <xf numFmtId="0" fontId="0" fillId="11" borderId="1" xfId="0" applyFill="1" applyBorder="1"/>
    <xf numFmtId="0" fontId="15" fillId="15" borderId="1" xfId="0" applyFont="1" applyFill="1" applyBorder="1" applyAlignment="1">
      <alignment horizontal="center" vertical="center"/>
    </xf>
    <xf numFmtId="0" fontId="0" fillId="16" borderId="1" xfId="0" applyFill="1" applyBorder="1"/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165" fontId="16" fillId="0" borderId="1" xfId="0" applyNumberFormat="1" applyFont="1" applyBorder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/>
    </xf>
    <xf numFmtId="9" fontId="16" fillId="0" borderId="1" xfId="0" applyNumberFormat="1" applyFont="1" applyBorder="1" applyAlignment="1">
      <alignment horizontal="center" vertical="center"/>
    </xf>
    <xf numFmtId="0" fontId="0" fillId="17" borderId="1" xfId="0" applyFill="1" applyBorder="1"/>
    <xf numFmtId="0" fontId="16" fillId="4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vertical="center"/>
    </xf>
    <xf numFmtId="165" fontId="16" fillId="4" borderId="1" xfId="0" applyNumberFormat="1" applyFont="1" applyFill="1" applyBorder="1" applyAlignment="1">
      <alignment horizontal="center" vertical="center"/>
    </xf>
    <xf numFmtId="1" fontId="16" fillId="4" borderId="1" xfId="0" applyNumberFormat="1" applyFont="1" applyFill="1" applyBorder="1" applyAlignment="1">
      <alignment horizontal="center" vertical="center"/>
    </xf>
    <xf numFmtId="9" fontId="16" fillId="4" borderId="1" xfId="0" applyNumberFormat="1" applyFont="1" applyFill="1" applyBorder="1" applyAlignment="1">
      <alignment horizontal="center" vertical="center"/>
    </xf>
    <xf numFmtId="0" fontId="17" fillId="18" borderId="1" xfId="0" applyFont="1" applyFill="1" applyBorder="1" applyAlignment="1">
      <alignment horizontal="center" vertical="center"/>
    </xf>
    <xf numFmtId="0" fontId="17" fillId="18" borderId="1" xfId="0" applyFont="1" applyFill="1" applyBorder="1" applyAlignment="1">
      <alignment vertical="center"/>
    </xf>
    <xf numFmtId="165" fontId="17" fillId="18" borderId="1" xfId="0" applyNumberFormat="1" applyFont="1" applyFill="1" applyBorder="1" applyAlignment="1">
      <alignment horizontal="center" vertical="center"/>
    </xf>
    <xf numFmtId="1" fontId="17" fillId="18" borderId="1" xfId="0" applyNumberFormat="1" applyFont="1" applyFill="1" applyBorder="1" applyAlignment="1">
      <alignment horizontal="center" vertical="center"/>
    </xf>
    <xf numFmtId="9" fontId="17" fillId="18" borderId="1" xfId="0" applyNumberFormat="1" applyFont="1" applyFill="1" applyBorder="1" applyAlignment="1">
      <alignment horizontal="center" vertical="center"/>
    </xf>
    <xf numFmtId="0" fontId="18" fillId="19" borderId="1" xfId="0" applyFont="1" applyFill="1" applyBorder="1" applyAlignment="1">
      <alignment horizontal="center" vertical="center"/>
    </xf>
    <xf numFmtId="0" fontId="10" fillId="6" borderId="0" xfId="0" applyFont="1" applyFill="1" applyAlignment="1">
      <alignment vertical="center" indent="1"/>
    </xf>
    <xf numFmtId="0" fontId="10" fillId="7" borderId="0" xfId="0" applyFont="1" applyFill="1" applyAlignment="1">
      <alignment vertical="center" indent="1"/>
    </xf>
    <xf numFmtId="0" fontId="10" fillId="8" borderId="0" xfId="0" applyFont="1" applyFill="1" applyAlignment="1">
      <alignment vertical="center" indent="1"/>
    </xf>
    <xf numFmtId="0" fontId="10" fillId="9" borderId="0" xfId="0" applyFont="1" applyFill="1" applyAlignment="1">
      <alignment vertical="center" indent="1"/>
    </xf>
    <xf numFmtId="0" fontId="19" fillId="20" borderId="1" xfId="0" applyFont="1" applyFill="1" applyBorder="1" applyAlignment="1">
      <alignment horizontal="center" vertical="center"/>
    </xf>
    <xf numFmtId="0" fontId="0" fillId="21" borderId="1" xfId="0" applyFill="1" applyBorder="1"/>
    <xf numFmtId="0" fontId="4" fillId="11" borderId="1" xfId="0" applyFont="1" applyFill="1" applyBorder="1" applyAlignment="1">
      <alignment horizontal="center" vertical="center"/>
    </xf>
    <xf numFmtId="0" fontId="0" fillId="22" borderId="1" xfId="0" applyFill="1" applyBorder="1"/>
    <xf numFmtId="0" fontId="20" fillId="4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vertical="center"/>
    </xf>
    <xf numFmtId="0" fontId="21" fillId="4" borderId="1" xfId="0" applyFont="1" applyFill="1" applyBorder="1" applyAlignment="1">
      <alignment vertical="center"/>
    </xf>
    <xf numFmtId="9" fontId="20" fillId="4" borderId="1" xfId="0" applyNumberFormat="1" applyFont="1" applyFill="1" applyBorder="1" applyAlignment="1">
      <alignment horizontal="center" vertical="center"/>
    </xf>
    <xf numFmtId="0" fontId="0" fillId="23" borderId="1" xfId="0" applyFill="1" applyBorder="1"/>
    <xf numFmtId="0" fontId="3" fillId="0" borderId="0" xfId="0" applyFont="1"/>
    <xf numFmtId="0" fontId="22" fillId="15" borderId="1" xfId="0" applyFont="1" applyFill="1" applyBorder="1" applyAlignment="1">
      <alignment horizontal="center" vertical="center"/>
    </xf>
    <xf numFmtId="0" fontId="23" fillId="19" borderId="1" xfId="0" applyFont="1" applyFill="1" applyBorder="1" applyAlignment="1">
      <alignment horizontal="center" vertical="center"/>
    </xf>
    <xf numFmtId="0" fontId="24" fillId="17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2" borderId="1" xfId="0" applyFont="1" applyFill="1" applyBorder="1" applyAlignment="1">
      <alignment horizontal="center" vertical="center"/>
    </xf>
    <xf numFmtId="0" fontId="27" fillId="12" borderId="1" xfId="0" applyFont="1" applyFill="1" applyBorder="1" applyAlignment="1">
      <alignment horizontal="center" vertical="center"/>
    </xf>
    <xf numFmtId="0" fontId="28" fillId="5" borderId="0" xfId="0" applyFont="1" applyFill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29" fillId="13" borderId="1" xfId="0" applyFont="1" applyFill="1" applyBorder="1" applyAlignment="1">
      <alignment horizontal="center" vertical="top" wrapText="1"/>
    </xf>
    <xf numFmtId="0" fontId="30" fillId="4" borderId="1" xfId="0" applyFont="1" applyFill="1" applyBorder="1" applyAlignment="1">
      <alignment horizontal="left" vertical="top" wrapText="1"/>
    </xf>
    <xf numFmtId="0" fontId="30" fillId="4" borderId="1" xfId="0" applyFont="1" applyFill="1" applyBorder="1" applyAlignment="1">
      <alignment horizontal="center" vertical="top" wrapText="1"/>
    </xf>
    <xf numFmtId="0" fontId="31" fillId="14" borderId="1" xfId="0" applyFont="1" applyFill="1" applyBorder="1" applyAlignment="1">
      <alignment horizontal="center" vertical="top" wrapText="1"/>
    </xf>
    <xf numFmtId="0" fontId="30" fillId="0" borderId="1" xfId="0" applyFont="1" applyBorder="1" applyAlignment="1">
      <alignment horizontal="left" vertical="top" wrapText="1"/>
    </xf>
    <xf numFmtId="0" fontId="30" fillId="0" borderId="1" xfId="0" applyFont="1" applyBorder="1" applyAlignment="1">
      <alignment horizontal="center" vertical="top" wrapText="1"/>
    </xf>
    <xf numFmtId="0" fontId="32" fillId="20" borderId="1" xfId="0" applyFont="1" applyFill="1" applyBorder="1" applyAlignment="1">
      <alignment horizontal="center" vertical="top" wrapText="1"/>
    </xf>
    <xf numFmtId="0" fontId="33" fillId="4" borderId="1" xfId="0" applyFont="1" applyFill="1" applyBorder="1" applyAlignment="1">
      <alignment horizontal="center" vertical="top" wrapText="1"/>
    </xf>
    <xf numFmtId="0" fontId="33" fillId="0" borderId="1" xfId="0" applyFont="1" applyBorder="1" applyAlignment="1">
      <alignment horizontal="center" vertical="top" wrapText="1"/>
    </xf>
    <xf numFmtId="0" fontId="34" fillId="13" borderId="1" xfId="0" applyFont="1" applyFill="1" applyBorder="1" applyAlignment="1">
      <alignment horizontal="center" vertical="top" wrapText="1"/>
    </xf>
    <xf numFmtId="0" fontId="10" fillId="2" borderId="2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left" vertical="top" wrapText="1"/>
    </xf>
    <xf numFmtId="0" fontId="35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51"/>
  <sheetViews>
    <sheetView workbookViewId="0">
      <pane xSplit="5" ySplit="8" topLeftCell="F9" activePane="bottomRight" state="frozen"/>
      <selection pane="bottomRight"/>
    </sheetView>
  </sheetViews>
  <sheetFormatPr defaultRowHeight="15" outlineLevelRow="0" outlineLevelCol="0" x14ac:dyDescent="55"/>
  <cols>
    <col min="1" max="1" width="7" customWidth="1"/>
    <col min="2" max="2" width="22" customWidth="1"/>
    <col min="3" max="3" width="44" customWidth="1"/>
    <col min="4" max="4" width="14" customWidth="1"/>
    <col min="5" max="5" width="18" customWidth="1"/>
    <col min="6" max="7" width="12" customWidth="1"/>
    <col min="8" max="8" width="7" customWidth="1"/>
    <col min="9" max="9" width="11" customWidth="1"/>
    <col min="10" max="10" width="14" customWidth="1"/>
    <col min="11" max="11" width="13" customWidth="1"/>
    <col min="12" max="46" width="4.2" customWidth="1"/>
  </cols>
  <sheetData>
    <row r="1" ht="34" customHeight="1" spans="1:3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ht="22" customHeight="1" spans="1:3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4" spans="1:18" x14ac:dyDescent="0.25">
      <c r="A4" s="3" t="s">
        <v>2</v>
      </c>
      <c r="B4" s="3"/>
      <c r="C4" s="3"/>
      <c r="D4" s="4" t="s">
        <v>3</v>
      </c>
      <c r="E4" s="4"/>
      <c r="F4" s="4"/>
      <c r="G4" s="4" t="s">
        <v>4</v>
      </c>
      <c r="H4" s="4"/>
      <c r="I4" s="4"/>
      <c r="J4" s="4" t="s">
        <v>5</v>
      </c>
      <c r="K4" s="4"/>
      <c r="L4" s="4"/>
      <c r="M4" s="4" t="s">
        <v>6</v>
      </c>
      <c r="N4" s="4"/>
      <c r="O4" s="4"/>
      <c r="P4" s="4" t="s">
        <v>7</v>
      </c>
      <c r="Q4" s="4"/>
      <c r="R4" s="4"/>
    </row>
    <row r="5" spans="4:18" x14ac:dyDescent="0.25">
      <c r="D5" s="5">
        <f>COUNTA(C10:C45)</f>
      </c>
      <c r="E5" s="5"/>
      <c r="F5" s="5"/>
      <c r="G5" s="6">
        <f>COUNTIF(I10:I45, "Completado")</f>
      </c>
      <c r="H5" s="6"/>
      <c r="I5" s="6"/>
      <c r="J5" s="7">
        <f>COUNTIF(I10:I45, "En Progreso")</f>
      </c>
      <c r="K5" s="7"/>
      <c r="L5" s="7"/>
      <c r="M5" s="8">
        <f>COUNTIF(D10:D45, "*Hito*")</f>
      </c>
      <c r="N5" s="8"/>
      <c r="O5" s="8"/>
      <c r="P5" s="9">
        <f>AVERAGE(H10:H45)</f>
      </c>
      <c r="Q5" s="9"/>
      <c r="R5" s="9"/>
    </row>
    <row r="7" ht="24" customHeight="1" spans="1:46" x14ac:dyDescent="0.25">
      <c r="A7" s="10" t="s">
        <v>8</v>
      </c>
      <c r="B7" s="10" t="s">
        <v>9</v>
      </c>
      <c r="C7" s="10" t="s">
        <v>10</v>
      </c>
      <c r="D7" s="10" t="s">
        <v>11</v>
      </c>
      <c r="E7" s="10" t="s">
        <v>12</v>
      </c>
      <c r="F7" s="10" t="s">
        <v>13</v>
      </c>
      <c r="G7" s="10" t="s">
        <v>14</v>
      </c>
      <c r="H7" s="10" t="s">
        <v>15</v>
      </c>
      <c r="I7" s="10" t="s">
        <v>16</v>
      </c>
      <c r="J7" s="10" t="s">
        <v>17</v>
      </c>
      <c r="K7" s="10" t="s">
        <v>18</v>
      </c>
      <c r="L7" s="11" t="s">
        <v>19</v>
      </c>
      <c r="M7" s="11"/>
      <c r="N7" s="11"/>
      <c r="O7" s="11"/>
      <c r="P7" s="11"/>
      <c r="Q7" s="11"/>
      <c r="R7" s="11"/>
      <c r="S7" s="12" t="s">
        <v>20</v>
      </c>
      <c r="T7" s="12"/>
      <c r="U7" s="12"/>
      <c r="V7" s="12"/>
      <c r="W7" s="12"/>
      <c r="X7" s="12"/>
      <c r="Y7" s="12"/>
      <c r="Z7" s="13" t="s">
        <v>21</v>
      </c>
      <c r="AA7" s="13"/>
      <c r="AB7" s="13"/>
      <c r="AC7" s="13"/>
      <c r="AD7" s="13"/>
      <c r="AE7" s="13"/>
      <c r="AF7" s="13"/>
      <c r="AG7" s="14" t="s">
        <v>22</v>
      </c>
      <c r="AH7" s="14"/>
      <c r="AI7" s="14"/>
      <c r="AJ7" s="14"/>
      <c r="AK7" s="14"/>
      <c r="AL7" s="14"/>
      <c r="AM7" s="14"/>
      <c r="AN7" s="14"/>
      <c r="AO7" s="14"/>
      <c r="AP7" s="15" t="s">
        <v>23</v>
      </c>
      <c r="AQ7" s="15"/>
      <c r="AR7" s="15"/>
      <c r="AS7" s="15"/>
      <c r="AT7" s="15"/>
    </row>
    <row r="8" ht="26" customHeight="1" spans="1:46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6" t="s">
        <v>24</v>
      </c>
      <c r="M8" s="17" t="s">
        <v>25</v>
      </c>
      <c r="N8" s="16" t="s">
        <v>26</v>
      </c>
      <c r="O8" s="17" t="s">
        <v>27</v>
      </c>
      <c r="P8" s="16" t="s">
        <v>28</v>
      </c>
      <c r="Q8" s="17" t="s">
        <v>29</v>
      </c>
      <c r="R8" s="16" t="s">
        <v>30</v>
      </c>
      <c r="S8" s="17" t="s">
        <v>31</v>
      </c>
      <c r="T8" s="16" t="s">
        <v>32</v>
      </c>
      <c r="U8" s="17" t="s">
        <v>33</v>
      </c>
      <c r="V8" s="16" t="s">
        <v>34</v>
      </c>
      <c r="W8" s="17" t="s">
        <v>35</v>
      </c>
      <c r="X8" s="16" t="s">
        <v>36</v>
      </c>
      <c r="Y8" s="17" t="s">
        <v>37</v>
      </c>
      <c r="Z8" s="16" t="s">
        <v>38</v>
      </c>
      <c r="AA8" s="17" t="s">
        <v>39</v>
      </c>
      <c r="AB8" s="16" t="s">
        <v>40</v>
      </c>
      <c r="AC8" s="17" t="s">
        <v>41</v>
      </c>
      <c r="AD8" s="16" t="s">
        <v>42</v>
      </c>
      <c r="AE8" s="17" t="s">
        <v>43</v>
      </c>
      <c r="AF8" s="16" t="s">
        <v>44</v>
      </c>
      <c r="AG8" s="17" t="s">
        <v>45</v>
      </c>
      <c r="AH8" s="16" t="s">
        <v>46</v>
      </c>
      <c r="AI8" s="17" t="s">
        <v>47</v>
      </c>
      <c r="AJ8" s="16" t="s">
        <v>48</v>
      </c>
      <c r="AK8" s="17" t="s">
        <v>49</v>
      </c>
      <c r="AL8" s="16" t="s">
        <v>50</v>
      </c>
      <c r="AM8" s="17" t="s">
        <v>51</v>
      </c>
      <c r="AN8" s="16" t="s">
        <v>52</v>
      </c>
      <c r="AO8" s="17" t="s">
        <v>53</v>
      </c>
      <c r="AP8" s="18" t="s">
        <v>54</v>
      </c>
      <c r="AQ8" s="18" t="s">
        <v>55</v>
      </c>
      <c r="AR8" s="18" t="s">
        <v>56</v>
      </c>
      <c r="AS8" s="18" t="s">
        <v>57</v>
      </c>
      <c r="AT8" s="18" t="s">
        <v>58</v>
      </c>
    </row>
    <row r="9" ht="22" customHeight="1" spans="1:37" x14ac:dyDescent="0.25">
      <c r="A9" s="19" t="s">
        <v>59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 ht="20" customHeight="1" spans="1:46" x14ac:dyDescent="0.25">
      <c r="A10" s="20" t="s">
        <v>60</v>
      </c>
      <c r="B10" s="21" t="s">
        <v>61</v>
      </c>
      <c r="C10" s="21" t="s">
        <v>62</v>
      </c>
      <c r="D10" s="20" t="s">
        <v>63</v>
      </c>
      <c r="E10" s="21" t="s">
        <v>64</v>
      </c>
      <c r="F10" s="22">
        <v>46272.125</v>
      </c>
      <c r="G10" s="22">
        <v>46272.125</v>
      </c>
      <c r="H10" s="23">
        <f>G10-F10+1</f>
      </c>
      <c r="I10" s="24">
        <v>1</v>
      </c>
      <c r="J10" s="25" t="s">
        <v>65</v>
      </c>
      <c r="K10" s="20" t="s">
        <v>66</v>
      </c>
      <c r="L10" s="26"/>
      <c r="M10" s="26"/>
      <c r="N10" s="26"/>
      <c r="O10" s="26"/>
      <c r="P10" s="26"/>
      <c r="Q10" s="27"/>
      <c r="R10" s="28" t="s">
        <v>67</v>
      </c>
      <c r="S10" s="26"/>
      <c r="T10" s="26"/>
      <c r="U10" s="26"/>
      <c r="V10" s="26"/>
      <c r="W10" s="26"/>
      <c r="X10" s="27"/>
      <c r="Y10" s="27"/>
      <c r="Z10" s="26"/>
      <c r="AA10" s="26"/>
      <c r="AB10" s="26"/>
      <c r="AC10" s="26"/>
      <c r="AD10" s="26"/>
      <c r="AE10" s="27"/>
      <c r="AF10" s="27"/>
      <c r="AG10" s="26"/>
      <c r="AH10" s="26"/>
      <c r="AI10" s="26"/>
      <c r="AJ10" s="26"/>
      <c r="AK10" s="26"/>
      <c r="AL10" s="27"/>
      <c r="AM10" s="27"/>
      <c r="AN10" s="26"/>
      <c r="AO10" s="26"/>
      <c r="AP10" s="29"/>
      <c r="AQ10" s="29"/>
      <c r="AR10" s="29"/>
      <c r="AS10" s="29"/>
      <c r="AT10" s="29"/>
    </row>
    <row r="11" ht="20" customHeight="1" spans="1:46" x14ac:dyDescent="0.25">
      <c r="A11" s="30" t="s">
        <v>68</v>
      </c>
      <c r="B11" s="31" t="s">
        <v>69</v>
      </c>
      <c r="C11" s="31" t="s">
        <v>70</v>
      </c>
      <c r="D11" s="30" t="s">
        <v>71</v>
      </c>
      <c r="E11" s="31" t="s">
        <v>72</v>
      </c>
      <c r="F11" s="32">
        <v>46266.16666666667</v>
      </c>
      <c r="G11" s="32">
        <v>46267.16666666667</v>
      </c>
      <c r="H11" s="33">
        <f>G11-F11+1</f>
      </c>
      <c r="I11" s="34">
        <v>1</v>
      </c>
      <c r="J11" s="25" t="s">
        <v>65</v>
      </c>
      <c r="K11" s="30" t="s">
        <v>73</v>
      </c>
      <c r="L11" s="35"/>
      <c r="M11" s="35"/>
      <c r="N11" s="26"/>
      <c r="O11" s="26"/>
      <c r="P11" s="26"/>
      <c r="Q11" s="27"/>
      <c r="R11" s="27"/>
      <c r="S11" s="26"/>
      <c r="T11" s="26"/>
      <c r="U11" s="26"/>
      <c r="V11" s="26"/>
      <c r="W11" s="26"/>
      <c r="X11" s="27"/>
      <c r="Y11" s="27"/>
      <c r="Z11" s="26"/>
      <c r="AA11" s="26"/>
      <c r="AB11" s="26"/>
      <c r="AC11" s="26"/>
      <c r="AD11" s="26"/>
      <c r="AE11" s="27"/>
      <c r="AF11" s="27"/>
      <c r="AG11" s="26"/>
      <c r="AH11" s="26"/>
      <c r="AI11" s="26"/>
      <c r="AJ11" s="26"/>
      <c r="AK11" s="26"/>
      <c r="AL11" s="27"/>
      <c r="AM11" s="27"/>
      <c r="AN11" s="26"/>
      <c r="AO11" s="26"/>
      <c r="AP11" s="29"/>
      <c r="AQ11" s="29"/>
      <c r="AR11" s="29"/>
      <c r="AS11" s="29"/>
      <c r="AT11" s="29"/>
    </row>
    <row r="12" ht="20" customHeight="1" spans="1:46" x14ac:dyDescent="0.25">
      <c r="A12" s="36" t="s">
        <v>74</v>
      </c>
      <c r="B12" s="37" t="s">
        <v>61</v>
      </c>
      <c r="C12" s="37" t="s">
        <v>75</v>
      </c>
      <c r="D12" s="36" t="s">
        <v>76</v>
      </c>
      <c r="E12" s="37" t="s">
        <v>72</v>
      </c>
      <c r="F12" s="38">
        <v>46267.16666666667</v>
      </c>
      <c r="G12" s="38">
        <v>46268.16666666667</v>
      </c>
      <c r="H12" s="39">
        <f>G12-F12+1</f>
      </c>
      <c r="I12" s="40">
        <v>1</v>
      </c>
      <c r="J12" s="25" t="s">
        <v>65</v>
      </c>
      <c r="K12" s="36" t="s">
        <v>68</v>
      </c>
      <c r="L12" s="26"/>
      <c r="M12" s="35"/>
      <c r="N12" s="35"/>
      <c r="O12" s="26"/>
      <c r="P12" s="26"/>
      <c r="Q12" s="27"/>
      <c r="R12" s="27"/>
      <c r="S12" s="26"/>
      <c r="T12" s="26"/>
      <c r="U12" s="26"/>
      <c r="V12" s="26"/>
      <c r="W12" s="26"/>
      <c r="X12" s="27"/>
      <c r="Y12" s="27"/>
      <c r="Z12" s="26"/>
      <c r="AA12" s="26"/>
      <c r="AB12" s="26"/>
      <c r="AC12" s="26"/>
      <c r="AD12" s="26"/>
      <c r="AE12" s="27"/>
      <c r="AF12" s="27"/>
      <c r="AG12" s="26"/>
      <c r="AH12" s="26"/>
      <c r="AI12" s="26"/>
      <c r="AJ12" s="26"/>
      <c r="AK12" s="26"/>
      <c r="AL12" s="27"/>
      <c r="AM12" s="27"/>
      <c r="AN12" s="26"/>
      <c r="AO12" s="26"/>
      <c r="AP12" s="29"/>
      <c r="AQ12" s="29"/>
      <c r="AR12" s="29"/>
      <c r="AS12" s="29"/>
      <c r="AT12" s="29"/>
    </row>
    <row r="13" ht="20" customHeight="1" spans="1:46" x14ac:dyDescent="0.25">
      <c r="A13" s="30" t="s">
        <v>77</v>
      </c>
      <c r="B13" s="31" t="s">
        <v>61</v>
      </c>
      <c r="C13" s="31" t="s">
        <v>78</v>
      </c>
      <c r="D13" s="30" t="s">
        <v>76</v>
      </c>
      <c r="E13" s="31" t="s">
        <v>72</v>
      </c>
      <c r="F13" s="32">
        <v>46268.16666666667</v>
      </c>
      <c r="G13" s="32">
        <v>46269.16666666667</v>
      </c>
      <c r="H13" s="33">
        <f>G13-F13+1</f>
      </c>
      <c r="I13" s="34">
        <v>1</v>
      </c>
      <c r="J13" s="25" t="s">
        <v>65</v>
      </c>
      <c r="K13" s="30" t="s">
        <v>74</v>
      </c>
      <c r="L13" s="26"/>
      <c r="M13" s="26"/>
      <c r="N13" s="35"/>
      <c r="O13" s="35"/>
      <c r="P13" s="26"/>
      <c r="Q13" s="27"/>
      <c r="R13" s="27"/>
      <c r="S13" s="26"/>
      <c r="T13" s="26"/>
      <c r="U13" s="26"/>
      <c r="V13" s="26"/>
      <c r="W13" s="26"/>
      <c r="X13" s="27"/>
      <c r="Y13" s="27"/>
      <c r="Z13" s="26"/>
      <c r="AA13" s="26"/>
      <c r="AB13" s="26"/>
      <c r="AC13" s="26"/>
      <c r="AD13" s="26"/>
      <c r="AE13" s="27"/>
      <c r="AF13" s="27"/>
      <c r="AG13" s="26"/>
      <c r="AH13" s="26"/>
      <c r="AI13" s="26"/>
      <c r="AJ13" s="26"/>
      <c r="AK13" s="26"/>
      <c r="AL13" s="27"/>
      <c r="AM13" s="27"/>
      <c r="AN13" s="26"/>
      <c r="AO13" s="26"/>
      <c r="AP13" s="29"/>
      <c r="AQ13" s="29"/>
      <c r="AR13" s="29"/>
      <c r="AS13" s="29"/>
      <c r="AT13" s="29"/>
    </row>
    <row r="14" ht="20" customHeight="1" spans="1:46" x14ac:dyDescent="0.25">
      <c r="A14" s="36" t="s">
        <v>79</v>
      </c>
      <c r="B14" s="37" t="s">
        <v>61</v>
      </c>
      <c r="C14" s="37" t="s">
        <v>80</v>
      </c>
      <c r="D14" s="36" t="s">
        <v>76</v>
      </c>
      <c r="E14" s="37" t="s">
        <v>81</v>
      </c>
      <c r="F14" s="38">
        <v>46269.16666666667</v>
      </c>
      <c r="G14" s="38">
        <v>46270.16666666667</v>
      </c>
      <c r="H14" s="39">
        <f>G14-F14+1</f>
      </c>
      <c r="I14" s="40">
        <v>1</v>
      </c>
      <c r="J14" s="25" t="s">
        <v>65</v>
      </c>
      <c r="K14" s="36" t="s">
        <v>77</v>
      </c>
      <c r="L14" s="26"/>
      <c r="M14" s="26"/>
      <c r="N14" s="26"/>
      <c r="O14" s="35"/>
      <c r="P14" s="35"/>
      <c r="Q14" s="27"/>
      <c r="R14" s="27"/>
      <c r="S14" s="26"/>
      <c r="T14" s="26"/>
      <c r="U14" s="26"/>
      <c r="V14" s="26"/>
      <c r="W14" s="26"/>
      <c r="X14" s="27"/>
      <c r="Y14" s="27"/>
      <c r="Z14" s="26"/>
      <c r="AA14" s="26"/>
      <c r="AB14" s="26"/>
      <c r="AC14" s="26"/>
      <c r="AD14" s="26"/>
      <c r="AE14" s="27"/>
      <c r="AF14" s="27"/>
      <c r="AG14" s="26"/>
      <c r="AH14" s="26"/>
      <c r="AI14" s="26"/>
      <c r="AJ14" s="26"/>
      <c r="AK14" s="26"/>
      <c r="AL14" s="27"/>
      <c r="AM14" s="27"/>
      <c r="AN14" s="26"/>
      <c r="AO14" s="26"/>
      <c r="AP14" s="29"/>
      <c r="AQ14" s="29"/>
      <c r="AR14" s="29"/>
      <c r="AS14" s="29"/>
      <c r="AT14" s="29"/>
    </row>
    <row r="15" ht="20" customHeight="1" spans="1:46" x14ac:dyDescent="0.25">
      <c r="A15" s="41" t="s">
        <v>82</v>
      </c>
      <c r="B15" s="42" t="s">
        <v>83</v>
      </c>
      <c r="C15" s="42" t="s">
        <v>84</v>
      </c>
      <c r="D15" s="41" t="s">
        <v>85</v>
      </c>
      <c r="E15" s="42" t="s">
        <v>86</v>
      </c>
      <c r="F15" s="43">
        <v>46270.16666666667</v>
      </c>
      <c r="G15" s="43">
        <v>46271.16666666667</v>
      </c>
      <c r="H15" s="44">
        <f>G15-F15+1</f>
      </c>
      <c r="I15" s="45">
        <v>1</v>
      </c>
      <c r="J15" s="25" t="s">
        <v>65</v>
      </c>
      <c r="K15" s="41" t="s">
        <v>79</v>
      </c>
      <c r="L15" s="26"/>
      <c r="M15" s="26"/>
      <c r="N15" s="26"/>
      <c r="O15" s="26"/>
      <c r="P15" s="46" t="s">
        <v>87</v>
      </c>
      <c r="Q15" s="46" t="s">
        <v>87</v>
      </c>
      <c r="R15" s="27"/>
      <c r="S15" s="26"/>
      <c r="T15" s="26"/>
      <c r="U15" s="26"/>
      <c r="V15" s="26"/>
      <c r="W15" s="26"/>
      <c r="X15" s="27"/>
      <c r="Y15" s="27"/>
      <c r="Z15" s="26"/>
      <c r="AA15" s="26"/>
      <c r="AB15" s="26"/>
      <c r="AC15" s="26"/>
      <c r="AD15" s="26"/>
      <c r="AE15" s="27"/>
      <c r="AF15" s="27"/>
      <c r="AG15" s="26"/>
      <c r="AH15" s="26"/>
      <c r="AI15" s="26"/>
      <c r="AJ15" s="26"/>
      <c r="AK15" s="26"/>
      <c r="AL15" s="27"/>
      <c r="AM15" s="27"/>
      <c r="AN15" s="26"/>
      <c r="AO15" s="26"/>
      <c r="AP15" s="29"/>
      <c r="AQ15" s="29"/>
      <c r="AR15" s="29"/>
      <c r="AS15" s="29"/>
      <c r="AT15" s="29"/>
    </row>
    <row r="16" ht="20" customHeight="1" spans="1:46" x14ac:dyDescent="0.25">
      <c r="A16" s="36" t="s">
        <v>88</v>
      </c>
      <c r="B16" s="37" t="s">
        <v>89</v>
      </c>
      <c r="C16" s="37" t="s">
        <v>90</v>
      </c>
      <c r="D16" s="36" t="s">
        <v>91</v>
      </c>
      <c r="E16" s="37" t="s">
        <v>92</v>
      </c>
      <c r="F16" s="38">
        <v>46271.16666666667</v>
      </c>
      <c r="G16" s="38">
        <v>46272.125</v>
      </c>
      <c r="H16" s="39">
        <f>G16-F16+1</f>
      </c>
      <c r="I16" s="40">
        <v>1</v>
      </c>
      <c r="J16" s="25" t="s">
        <v>65</v>
      </c>
      <c r="K16" s="36" t="s">
        <v>82</v>
      </c>
      <c r="L16" s="26"/>
      <c r="M16" s="26"/>
      <c r="N16" s="26"/>
      <c r="O16" s="26"/>
      <c r="P16" s="26"/>
      <c r="Q16" s="35"/>
      <c r="R16" s="35"/>
      <c r="S16" s="26"/>
      <c r="T16" s="26"/>
      <c r="U16" s="26"/>
      <c r="V16" s="26"/>
      <c r="W16" s="26"/>
      <c r="X16" s="27"/>
      <c r="Y16" s="27"/>
      <c r="Z16" s="26"/>
      <c r="AA16" s="26"/>
      <c r="AB16" s="26"/>
      <c r="AC16" s="26"/>
      <c r="AD16" s="26"/>
      <c r="AE16" s="27"/>
      <c r="AF16" s="27"/>
      <c r="AG16" s="26"/>
      <c r="AH16" s="26"/>
      <c r="AI16" s="26"/>
      <c r="AJ16" s="26"/>
      <c r="AK16" s="26"/>
      <c r="AL16" s="27"/>
      <c r="AM16" s="27"/>
      <c r="AN16" s="26"/>
      <c r="AO16" s="26"/>
      <c r="AP16" s="29"/>
      <c r="AQ16" s="29"/>
      <c r="AR16" s="29"/>
      <c r="AS16" s="29"/>
      <c r="AT16" s="29"/>
    </row>
    <row r="17" ht="22" customHeight="1" spans="1:37" x14ac:dyDescent="0.25">
      <c r="A17" s="47" t="s">
        <v>93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</row>
    <row r="18" ht="20" customHeight="1" spans="1:46" x14ac:dyDescent="0.25">
      <c r="A18" s="20" t="s">
        <v>94</v>
      </c>
      <c r="B18" s="21" t="s">
        <v>95</v>
      </c>
      <c r="C18" s="21" t="s">
        <v>96</v>
      </c>
      <c r="D18" s="20" t="s">
        <v>63</v>
      </c>
      <c r="E18" s="21" t="s">
        <v>64</v>
      </c>
      <c r="F18" s="22">
        <v>46279.125</v>
      </c>
      <c r="G18" s="22">
        <v>46279.125</v>
      </c>
      <c r="H18" s="23">
        <f>G18-F18+1</f>
      </c>
      <c r="I18" s="24">
        <v>1</v>
      </c>
      <c r="J18" s="25" t="s">
        <v>65</v>
      </c>
      <c r="K18" s="20" t="s">
        <v>97</v>
      </c>
      <c r="L18" s="26"/>
      <c r="M18" s="26"/>
      <c r="N18" s="26"/>
      <c r="O18" s="26"/>
      <c r="P18" s="26"/>
      <c r="Q18" s="27"/>
      <c r="R18" s="27"/>
      <c r="S18" s="26"/>
      <c r="T18" s="26"/>
      <c r="U18" s="26"/>
      <c r="V18" s="26"/>
      <c r="W18" s="26"/>
      <c r="X18" s="27"/>
      <c r="Y18" s="28" t="s">
        <v>67</v>
      </c>
      <c r="Z18" s="26"/>
      <c r="AA18" s="26"/>
      <c r="AB18" s="26"/>
      <c r="AC18" s="26"/>
      <c r="AD18" s="26"/>
      <c r="AE18" s="27"/>
      <c r="AF18" s="27"/>
      <c r="AG18" s="26"/>
      <c r="AH18" s="26"/>
      <c r="AI18" s="26"/>
      <c r="AJ18" s="26"/>
      <c r="AK18" s="26"/>
      <c r="AL18" s="27"/>
      <c r="AM18" s="27"/>
      <c r="AN18" s="26"/>
      <c r="AO18" s="26"/>
      <c r="AP18" s="29"/>
      <c r="AQ18" s="29"/>
      <c r="AR18" s="29"/>
      <c r="AS18" s="29"/>
      <c r="AT18" s="29"/>
    </row>
    <row r="19" ht="20" customHeight="1" spans="1:46" x14ac:dyDescent="0.25">
      <c r="A19" s="30" t="s">
        <v>98</v>
      </c>
      <c r="B19" s="31" t="s">
        <v>99</v>
      </c>
      <c r="C19" s="31" t="s">
        <v>100</v>
      </c>
      <c r="D19" s="30" t="s">
        <v>76</v>
      </c>
      <c r="E19" s="31" t="s">
        <v>72</v>
      </c>
      <c r="F19" s="32">
        <v>46273.125</v>
      </c>
      <c r="G19" s="32">
        <v>46274.125</v>
      </c>
      <c r="H19" s="33">
        <f>G19-F19+1</f>
      </c>
      <c r="I19" s="34">
        <v>1</v>
      </c>
      <c r="J19" s="25" t="s">
        <v>65</v>
      </c>
      <c r="K19" s="30" t="s">
        <v>60</v>
      </c>
      <c r="L19" s="26"/>
      <c r="M19" s="26"/>
      <c r="N19" s="26"/>
      <c r="O19" s="26"/>
      <c r="P19" s="26"/>
      <c r="Q19" s="27"/>
      <c r="R19" s="27"/>
      <c r="S19" s="35"/>
      <c r="T19" s="35"/>
      <c r="U19" s="26"/>
      <c r="V19" s="26"/>
      <c r="W19" s="26"/>
      <c r="X19" s="27"/>
      <c r="Y19" s="27"/>
      <c r="Z19" s="26"/>
      <c r="AA19" s="26"/>
      <c r="AB19" s="26"/>
      <c r="AC19" s="26"/>
      <c r="AD19" s="26"/>
      <c r="AE19" s="27"/>
      <c r="AF19" s="27"/>
      <c r="AG19" s="26"/>
      <c r="AH19" s="26"/>
      <c r="AI19" s="26"/>
      <c r="AJ19" s="26"/>
      <c r="AK19" s="26"/>
      <c r="AL19" s="27"/>
      <c r="AM19" s="27"/>
      <c r="AN19" s="26"/>
      <c r="AO19" s="26"/>
      <c r="AP19" s="29"/>
      <c r="AQ19" s="29"/>
      <c r="AR19" s="29"/>
      <c r="AS19" s="29"/>
      <c r="AT19" s="29"/>
    </row>
    <row r="20" ht="20" customHeight="1" spans="1:46" x14ac:dyDescent="0.25">
      <c r="A20" s="36" t="s">
        <v>101</v>
      </c>
      <c r="B20" s="37" t="s">
        <v>102</v>
      </c>
      <c r="C20" s="37" t="s">
        <v>103</v>
      </c>
      <c r="D20" s="36" t="s">
        <v>104</v>
      </c>
      <c r="E20" s="37" t="s">
        <v>86</v>
      </c>
      <c r="F20" s="38">
        <v>46274.125</v>
      </c>
      <c r="G20" s="38">
        <v>46275.125</v>
      </c>
      <c r="H20" s="39">
        <f>G20-F20+1</f>
      </c>
      <c r="I20" s="40">
        <v>1</v>
      </c>
      <c r="J20" s="25" t="s">
        <v>65</v>
      </c>
      <c r="K20" s="36" t="s">
        <v>98</v>
      </c>
      <c r="L20" s="26"/>
      <c r="M20" s="26"/>
      <c r="N20" s="26"/>
      <c r="O20" s="26"/>
      <c r="P20" s="26"/>
      <c r="Q20" s="27"/>
      <c r="R20" s="27"/>
      <c r="S20" s="26"/>
      <c r="T20" s="35"/>
      <c r="U20" s="35"/>
      <c r="V20" s="26"/>
      <c r="W20" s="26"/>
      <c r="X20" s="27"/>
      <c r="Y20" s="27"/>
      <c r="Z20" s="26"/>
      <c r="AA20" s="26"/>
      <c r="AB20" s="26"/>
      <c r="AC20" s="26"/>
      <c r="AD20" s="26"/>
      <c r="AE20" s="27"/>
      <c r="AF20" s="27"/>
      <c r="AG20" s="26"/>
      <c r="AH20" s="26"/>
      <c r="AI20" s="26"/>
      <c r="AJ20" s="26"/>
      <c r="AK20" s="26"/>
      <c r="AL20" s="27"/>
      <c r="AM20" s="27"/>
      <c r="AN20" s="26"/>
      <c r="AO20" s="26"/>
      <c r="AP20" s="29"/>
      <c r="AQ20" s="29"/>
      <c r="AR20" s="29"/>
      <c r="AS20" s="29"/>
      <c r="AT20" s="29"/>
    </row>
    <row r="21" ht="20" customHeight="1" spans="1:46" x14ac:dyDescent="0.25">
      <c r="A21" s="30" t="s">
        <v>105</v>
      </c>
      <c r="B21" s="31" t="s">
        <v>106</v>
      </c>
      <c r="C21" s="31" t="s">
        <v>107</v>
      </c>
      <c r="D21" s="30" t="s">
        <v>76</v>
      </c>
      <c r="E21" s="31" t="s">
        <v>72</v>
      </c>
      <c r="F21" s="32">
        <v>46275.125</v>
      </c>
      <c r="G21" s="32">
        <v>46276.125</v>
      </c>
      <c r="H21" s="33">
        <f>G21-F21+1</f>
      </c>
      <c r="I21" s="34">
        <v>1</v>
      </c>
      <c r="J21" s="25" t="s">
        <v>65</v>
      </c>
      <c r="K21" s="30" t="s">
        <v>101</v>
      </c>
      <c r="L21" s="26"/>
      <c r="M21" s="26"/>
      <c r="N21" s="26"/>
      <c r="O21" s="26"/>
      <c r="P21" s="26"/>
      <c r="Q21" s="27"/>
      <c r="R21" s="27"/>
      <c r="S21" s="26"/>
      <c r="T21" s="26"/>
      <c r="U21" s="35"/>
      <c r="V21" s="35"/>
      <c r="W21" s="26"/>
      <c r="X21" s="27"/>
      <c r="Y21" s="27"/>
      <c r="Z21" s="26"/>
      <c r="AA21" s="26"/>
      <c r="AB21" s="26"/>
      <c r="AC21" s="26"/>
      <c r="AD21" s="26"/>
      <c r="AE21" s="27"/>
      <c r="AF21" s="27"/>
      <c r="AG21" s="26"/>
      <c r="AH21" s="26"/>
      <c r="AI21" s="26"/>
      <c r="AJ21" s="26"/>
      <c r="AK21" s="26"/>
      <c r="AL21" s="27"/>
      <c r="AM21" s="27"/>
      <c r="AN21" s="26"/>
      <c r="AO21" s="26"/>
      <c r="AP21" s="29"/>
      <c r="AQ21" s="29"/>
      <c r="AR21" s="29"/>
      <c r="AS21" s="29"/>
      <c r="AT21" s="29"/>
    </row>
    <row r="22" ht="20" customHeight="1" spans="1:46" x14ac:dyDescent="0.25">
      <c r="A22" s="36" t="s">
        <v>108</v>
      </c>
      <c r="B22" s="37" t="s">
        <v>109</v>
      </c>
      <c r="C22" s="37" t="s">
        <v>110</v>
      </c>
      <c r="D22" s="36" t="s">
        <v>76</v>
      </c>
      <c r="E22" s="37" t="s">
        <v>72</v>
      </c>
      <c r="F22" s="38">
        <v>46276.125</v>
      </c>
      <c r="G22" s="38">
        <v>46277.125</v>
      </c>
      <c r="H22" s="39">
        <f>G22-F22+1</f>
      </c>
      <c r="I22" s="40">
        <v>1</v>
      </c>
      <c r="J22" s="25" t="s">
        <v>65</v>
      </c>
      <c r="K22" s="36" t="s">
        <v>105</v>
      </c>
      <c r="L22" s="26"/>
      <c r="M22" s="26"/>
      <c r="N22" s="26"/>
      <c r="O22" s="26"/>
      <c r="P22" s="26"/>
      <c r="Q22" s="27"/>
      <c r="R22" s="27"/>
      <c r="S22" s="26"/>
      <c r="T22" s="26"/>
      <c r="U22" s="26"/>
      <c r="V22" s="35"/>
      <c r="W22" s="35"/>
      <c r="X22" s="27"/>
      <c r="Y22" s="27"/>
      <c r="Z22" s="26"/>
      <c r="AA22" s="26"/>
      <c r="AB22" s="26"/>
      <c r="AC22" s="26"/>
      <c r="AD22" s="26"/>
      <c r="AE22" s="27"/>
      <c r="AF22" s="27"/>
      <c r="AG22" s="26"/>
      <c r="AH22" s="26"/>
      <c r="AI22" s="26"/>
      <c r="AJ22" s="26"/>
      <c r="AK22" s="26"/>
      <c r="AL22" s="27"/>
      <c r="AM22" s="27"/>
      <c r="AN22" s="26"/>
      <c r="AO22" s="26"/>
      <c r="AP22" s="29"/>
      <c r="AQ22" s="29"/>
      <c r="AR22" s="29"/>
      <c r="AS22" s="29"/>
      <c r="AT22" s="29"/>
    </row>
    <row r="23" ht="20" customHeight="1" spans="1:46" x14ac:dyDescent="0.25">
      <c r="A23" s="30" t="s">
        <v>111</v>
      </c>
      <c r="B23" s="31" t="s">
        <v>112</v>
      </c>
      <c r="C23" s="31" t="s">
        <v>113</v>
      </c>
      <c r="D23" s="30" t="s">
        <v>114</v>
      </c>
      <c r="E23" s="31" t="s">
        <v>86</v>
      </c>
      <c r="F23" s="32">
        <v>46277.125</v>
      </c>
      <c r="G23" s="32">
        <v>46279.125</v>
      </c>
      <c r="H23" s="33">
        <f>G23-F23+1</f>
      </c>
      <c r="I23" s="34">
        <v>1</v>
      </c>
      <c r="J23" s="25" t="s">
        <v>65</v>
      </c>
      <c r="K23" s="30" t="s">
        <v>108</v>
      </c>
      <c r="L23" s="26"/>
      <c r="M23" s="26"/>
      <c r="N23" s="26"/>
      <c r="O23" s="26"/>
      <c r="P23" s="26"/>
      <c r="Q23" s="27"/>
      <c r="R23" s="27"/>
      <c r="S23" s="26"/>
      <c r="T23" s="26"/>
      <c r="U23" s="26"/>
      <c r="V23" s="26"/>
      <c r="W23" s="35"/>
      <c r="X23" s="35"/>
      <c r="Y23" s="35"/>
      <c r="Z23" s="26"/>
      <c r="AA23" s="26"/>
      <c r="AB23" s="26"/>
      <c r="AC23" s="26"/>
      <c r="AD23" s="26"/>
      <c r="AE23" s="27"/>
      <c r="AF23" s="27"/>
      <c r="AG23" s="26"/>
      <c r="AH23" s="26"/>
      <c r="AI23" s="26"/>
      <c r="AJ23" s="26"/>
      <c r="AK23" s="26"/>
      <c r="AL23" s="27"/>
      <c r="AM23" s="27"/>
      <c r="AN23" s="26"/>
      <c r="AO23" s="26"/>
      <c r="AP23" s="29"/>
      <c r="AQ23" s="29"/>
      <c r="AR23" s="29"/>
      <c r="AS23" s="29"/>
      <c r="AT23" s="29"/>
    </row>
    <row r="24" ht="22" customHeight="1" spans="1:37" x14ac:dyDescent="0.25">
      <c r="A24" s="48" t="s">
        <v>115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</row>
    <row r="25" ht="20" customHeight="1" spans="1:46" x14ac:dyDescent="0.25">
      <c r="A25" s="20" t="s">
        <v>116</v>
      </c>
      <c r="B25" s="21" t="s">
        <v>117</v>
      </c>
      <c r="C25" s="21" t="s">
        <v>118</v>
      </c>
      <c r="D25" s="20" t="s">
        <v>63</v>
      </c>
      <c r="E25" s="21" t="s">
        <v>64</v>
      </c>
      <c r="F25" s="22">
        <v>46286.125</v>
      </c>
      <c r="G25" s="22">
        <v>46286.125</v>
      </c>
      <c r="H25" s="23">
        <f>G25-F25+1</f>
      </c>
      <c r="I25" s="24">
        <v>1</v>
      </c>
      <c r="J25" s="25" t="s">
        <v>65</v>
      </c>
      <c r="K25" s="20" t="s">
        <v>119</v>
      </c>
      <c r="L25" s="26"/>
      <c r="M25" s="26"/>
      <c r="N25" s="26"/>
      <c r="O25" s="26"/>
      <c r="P25" s="26"/>
      <c r="Q25" s="27"/>
      <c r="R25" s="27"/>
      <c r="S25" s="26"/>
      <c r="T25" s="26"/>
      <c r="U25" s="26"/>
      <c r="V25" s="26"/>
      <c r="W25" s="26"/>
      <c r="X25" s="27"/>
      <c r="Y25" s="27"/>
      <c r="Z25" s="26"/>
      <c r="AA25" s="26"/>
      <c r="AB25" s="26"/>
      <c r="AC25" s="26"/>
      <c r="AD25" s="26"/>
      <c r="AE25" s="27"/>
      <c r="AF25" s="28" t="s">
        <v>67</v>
      </c>
      <c r="AG25" s="26"/>
      <c r="AH25" s="26"/>
      <c r="AI25" s="26"/>
      <c r="AJ25" s="26"/>
      <c r="AK25" s="26"/>
      <c r="AL25" s="27"/>
      <c r="AM25" s="27"/>
      <c r="AN25" s="26"/>
      <c r="AO25" s="26"/>
      <c r="AP25" s="29"/>
      <c r="AQ25" s="29"/>
      <c r="AR25" s="29"/>
      <c r="AS25" s="29"/>
      <c r="AT25" s="29"/>
    </row>
    <row r="26" ht="20" customHeight="1" spans="1:46" x14ac:dyDescent="0.25">
      <c r="A26" s="41" t="s">
        <v>120</v>
      </c>
      <c r="B26" s="42" t="s">
        <v>121</v>
      </c>
      <c r="C26" s="42" t="s">
        <v>122</v>
      </c>
      <c r="D26" s="41" t="s">
        <v>123</v>
      </c>
      <c r="E26" s="42" t="s">
        <v>86</v>
      </c>
      <c r="F26" s="43">
        <v>46280.125</v>
      </c>
      <c r="G26" s="43">
        <v>46281.125</v>
      </c>
      <c r="H26" s="44">
        <f>G26-F26+1</f>
      </c>
      <c r="I26" s="45">
        <v>1</v>
      </c>
      <c r="J26" s="25" t="s">
        <v>65</v>
      </c>
      <c r="K26" s="41" t="s">
        <v>94</v>
      </c>
      <c r="L26" s="26"/>
      <c r="M26" s="26"/>
      <c r="N26" s="26"/>
      <c r="O26" s="26"/>
      <c r="P26" s="26"/>
      <c r="Q26" s="27"/>
      <c r="R26" s="27"/>
      <c r="S26" s="26"/>
      <c r="T26" s="26"/>
      <c r="U26" s="26"/>
      <c r="V26" s="26"/>
      <c r="W26" s="26"/>
      <c r="X26" s="27"/>
      <c r="Y26" s="27"/>
      <c r="Z26" s="46" t="s">
        <v>87</v>
      </c>
      <c r="AA26" s="46" t="s">
        <v>87</v>
      </c>
      <c r="AB26" s="26"/>
      <c r="AC26" s="26"/>
      <c r="AD26" s="26"/>
      <c r="AE26" s="27"/>
      <c r="AF26" s="27"/>
      <c r="AG26" s="26"/>
      <c r="AH26" s="26"/>
      <c r="AI26" s="26"/>
      <c r="AJ26" s="26"/>
      <c r="AK26" s="26"/>
      <c r="AL26" s="27"/>
      <c r="AM26" s="27"/>
      <c r="AN26" s="26"/>
      <c r="AO26" s="26"/>
      <c r="AP26" s="29"/>
      <c r="AQ26" s="29"/>
      <c r="AR26" s="29"/>
      <c r="AS26" s="29"/>
      <c r="AT26" s="29"/>
    </row>
    <row r="27" ht="20" customHeight="1" spans="1:46" x14ac:dyDescent="0.25">
      <c r="A27" s="30" t="s">
        <v>124</v>
      </c>
      <c r="B27" s="31" t="s">
        <v>125</v>
      </c>
      <c r="C27" s="31" t="s">
        <v>126</v>
      </c>
      <c r="D27" s="30" t="s">
        <v>114</v>
      </c>
      <c r="E27" s="31" t="s">
        <v>72</v>
      </c>
      <c r="F27" s="32">
        <v>46281.125</v>
      </c>
      <c r="G27" s="32">
        <v>46283.125</v>
      </c>
      <c r="H27" s="33">
        <f>G27-F27+1</f>
      </c>
      <c r="I27" s="34">
        <v>1</v>
      </c>
      <c r="J27" s="25" t="s">
        <v>65</v>
      </c>
      <c r="K27" s="30" t="s">
        <v>120</v>
      </c>
      <c r="L27" s="26"/>
      <c r="M27" s="26"/>
      <c r="N27" s="26"/>
      <c r="O27" s="26"/>
      <c r="P27" s="26"/>
      <c r="Q27" s="27"/>
      <c r="R27" s="27"/>
      <c r="S27" s="26"/>
      <c r="T27" s="26"/>
      <c r="U27" s="26"/>
      <c r="V27" s="26"/>
      <c r="W27" s="26"/>
      <c r="X27" s="27"/>
      <c r="Y27" s="27"/>
      <c r="Z27" s="26"/>
      <c r="AA27" s="35"/>
      <c r="AB27" s="35"/>
      <c r="AC27" s="35"/>
      <c r="AD27" s="26"/>
      <c r="AE27" s="27"/>
      <c r="AF27" s="27"/>
      <c r="AG27" s="26"/>
      <c r="AH27" s="26"/>
      <c r="AI27" s="26"/>
      <c r="AJ27" s="26"/>
      <c r="AK27" s="26"/>
      <c r="AL27" s="27"/>
      <c r="AM27" s="27"/>
      <c r="AN27" s="26"/>
      <c r="AO27" s="26"/>
      <c r="AP27" s="29"/>
      <c r="AQ27" s="29"/>
      <c r="AR27" s="29"/>
      <c r="AS27" s="29"/>
      <c r="AT27" s="29"/>
    </row>
    <row r="28" ht="20" customHeight="1" spans="1:46" x14ac:dyDescent="0.25">
      <c r="A28" s="36" t="s">
        <v>127</v>
      </c>
      <c r="B28" s="37" t="s">
        <v>128</v>
      </c>
      <c r="C28" s="37" t="s">
        <v>129</v>
      </c>
      <c r="D28" s="36" t="s">
        <v>114</v>
      </c>
      <c r="E28" s="37" t="s">
        <v>72</v>
      </c>
      <c r="F28" s="38">
        <v>46283.125</v>
      </c>
      <c r="G28" s="38">
        <v>46285.125</v>
      </c>
      <c r="H28" s="39">
        <f>G28-F28+1</f>
      </c>
      <c r="I28" s="40">
        <v>1</v>
      </c>
      <c r="J28" s="25" t="s">
        <v>65</v>
      </c>
      <c r="K28" s="36" t="s">
        <v>120</v>
      </c>
      <c r="L28" s="26"/>
      <c r="M28" s="26"/>
      <c r="N28" s="26"/>
      <c r="O28" s="26"/>
      <c r="P28" s="26"/>
      <c r="Q28" s="27"/>
      <c r="R28" s="27"/>
      <c r="S28" s="26"/>
      <c r="T28" s="26"/>
      <c r="U28" s="26"/>
      <c r="V28" s="26"/>
      <c r="W28" s="26"/>
      <c r="X28" s="27"/>
      <c r="Y28" s="27"/>
      <c r="Z28" s="26"/>
      <c r="AA28" s="26"/>
      <c r="AB28" s="26"/>
      <c r="AC28" s="35"/>
      <c r="AD28" s="35"/>
      <c r="AE28" s="35"/>
      <c r="AF28" s="27"/>
      <c r="AG28" s="26"/>
      <c r="AH28" s="26"/>
      <c r="AI28" s="26"/>
      <c r="AJ28" s="26"/>
      <c r="AK28" s="26"/>
      <c r="AL28" s="27"/>
      <c r="AM28" s="27"/>
      <c r="AN28" s="26"/>
      <c r="AO28" s="26"/>
      <c r="AP28" s="29"/>
      <c r="AQ28" s="29"/>
      <c r="AR28" s="29"/>
      <c r="AS28" s="29"/>
      <c r="AT28" s="29"/>
    </row>
    <row r="29" ht="20" customHeight="1" spans="1:46" x14ac:dyDescent="0.25">
      <c r="A29" s="30" t="s">
        <v>130</v>
      </c>
      <c r="B29" s="31" t="s">
        <v>131</v>
      </c>
      <c r="C29" s="31" t="s">
        <v>132</v>
      </c>
      <c r="D29" s="30" t="s">
        <v>76</v>
      </c>
      <c r="E29" s="31" t="s">
        <v>72</v>
      </c>
      <c r="F29" s="32">
        <v>46284.125</v>
      </c>
      <c r="G29" s="32">
        <v>46286.125</v>
      </c>
      <c r="H29" s="33">
        <f>G29-F29+1</f>
      </c>
      <c r="I29" s="34">
        <v>1</v>
      </c>
      <c r="J29" s="25" t="s">
        <v>65</v>
      </c>
      <c r="K29" s="30" t="s">
        <v>133</v>
      </c>
      <c r="L29" s="26"/>
      <c r="M29" s="26"/>
      <c r="N29" s="26"/>
      <c r="O29" s="26"/>
      <c r="P29" s="26"/>
      <c r="Q29" s="27"/>
      <c r="R29" s="27"/>
      <c r="S29" s="26"/>
      <c r="T29" s="26"/>
      <c r="U29" s="26"/>
      <c r="V29" s="26"/>
      <c r="W29" s="26"/>
      <c r="X29" s="27"/>
      <c r="Y29" s="27"/>
      <c r="Z29" s="26"/>
      <c r="AA29" s="26"/>
      <c r="AB29" s="26"/>
      <c r="AC29" s="26"/>
      <c r="AD29" s="35"/>
      <c r="AE29" s="35"/>
      <c r="AF29" s="35"/>
      <c r="AG29" s="26"/>
      <c r="AH29" s="26"/>
      <c r="AI29" s="26"/>
      <c r="AJ29" s="26"/>
      <c r="AK29" s="26"/>
      <c r="AL29" s="27"/>
      <c r="AM29" s="27"/>
      <c r="AN29" s="26"/>
      <c r="AO29" s="26"/>
      <c r="AP29" s="29"/>
      <c r="AQ29" s="29"/>
      <c r="AR29" s="29"/>
      <c r="AS29" s="29"/>
      <c r="AT29" s="29"/>
    </row>
    <row r="30" ht="22" customHeight="1" spans="1:37" x14ac:dyDescent="0.25">
      <c r="A30" s="49" t="s">
        <v>134</v>
      </c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</row>
    <row r="31" ht="20" customHeight="1" spans="1:46" x14ac:dyDescent="0.25">
      <c r="A31" s="20" t="s">
        <v>135</v>
      </c>
      <c r="B31" s="21" t="s">
        <v>136</v>
      </c>
      <c r="C31" s="21" t="s">
        <v>137</v>
      </c>
      <c r="D31" s="20" t="s">
        <v>63</v>
      </c>
      <c r="E31" s="21" t="s">
        <v>64</v>
      </c>
      <c r="F31" s="22">
        <v>46295.125</v>
      </c>
      <c r="G31" s="22">
        <v>46295.125</v>
      </c>
      <c r="H31" s="23">
        <f>G31-F31+1</f>
      </c>
      <c r="I31" s="24">
        <v>1</v>
      </c>
      <c r="J31" s="25" t="s">
        <v>65</v>
      </c>
      <c r="K31" s="20" t="s">
        <v>138</v>
      </c>
      <c r="L31" s="26"/>
      <c r="M31" s="26"/>
      <c r="N31" s="26"/>
      <c r="O31" s="26"/>
      <c r="P31" s="26"/>
      <c r="Q31" s="27"/>
      <c r="R31" s="27"/>
      <c r="S31" s="26"/>
      <c r="T31" s="26"/>
      <c r="U31" s="26"/>
      <c r="V31" s="26"/>
      <c r="W31" s="26"/>
      <c r="X31" s="27"/>
      <c r="Y31" s="27"/>
      <c r="Z31" s="26"/>
      <c r="AA31" s="26"/>
      <c r="AB31" s="26"/>
      <c r="AC31" s="26"/>
      <c r="AD31" s="26"/>
      <c r="AE31" s="27"/>
      <c r="AF31" s="27"/>
      <c r="AG31" s="26"/>
      <c r="AH31" s="26"/>
      <c r="AI31" s="26"/>
      <c r="AJ31" s="26"/>
      <c r="AK31" s="26"/>
      <c r="AL31" s="27"/>
      <c r="AM31" s="27"/>
      <c r="AN31" s="26"/>
      <c r="AO31" s="28" t="s">
        <v>67</v>
      </c>
      <c r="AP31" s="29"/>
      <c r="AQ31" s="29"/>
      <c r="AR31" s="29"/>
      <c r="AS31" s="29"/>
      <c r="AT31" s="29"/>
    </row>
    <row r="32" ht="20" customHeight="1" spans="1:46" x14ac:dyDescent="0.25">
      <c r="A32" s="36" t="s">
        <v>139</v>
      </c>
      <c r="B32" s="37" t="s">
        <v>140</v>
      </c>
      <c r="C32" s="37" t="s">
        <v>141</v>
      </c>
      <c r="D32" s="36" t="s">
        <v>142</v>
      </c>
      <c r="E32" s="37" t="s">
        <v>86</v>
      </c>
      <c r="F32" s="38">
        <v>46287.125</v>
      </c>
      <c r="G32" s="38">
        <v>46290.125</v>
      </c>
      <c r="H32" s="39">
        <f>G32-F32+1</f>
      </c>
      <c r="I32" s="40">
        <v>1</v>
      </c>
      <c r="J32" s="25" t="s">
        <v>65</v>
      </c>
      <c r="K32" s="36" t="s">
        <v>116</v>
      </c>
      <c r="L32" s="26"/>
      <c r="M32" s="26"/>
      <c r="N32" s="26"/>
      <c r="O32" s="26"/>
      <c r="P32" s="26"/>
      <c r="Q32" s="27"/>
      <c r="R32" s="27"/>
      <c r="S32" s="26"/>
      <c r="T32" s="26"/>
      <c r="U32" s="26"/>
      <c r="V32" s="26"/>
      <c r="W32" s="26"/>
      <c r="X32" s="27"/>
      <c r="Y32" s="27"/>
      <c r="Z32" s="26"/>
      <c r="AA32" s="26"/>
      <c r="AB32" s="26"/>
      <c r="AC32" s="26"/>
      <c r="AD32" s="26"/>
      <c r="AE32" s="27"/>
      <c r="AF32" s="27"/>
      <c r="AG32" s="35"/>
      <c r="AH32" s="35"/>
      <c r="AI32" s="35"/>
      <c r="AJ32" s="35"/>
      <c r="AK32" s="26"/>
      <c r="AL32" s="27"/>
      <c r="AM32" s="27"/>
      <c r="AN32" s="26"/>
      <c r="AO32" s="26"/>
      <c r="AP32" s="29"/>
      <c r="AQ32" s="29"/>
      <c r="AR32" s="29"/>
      <c r="AS32" s="29"/>
      <c r="AT32" s="29"/>
    </row>
    <row r="33" ht="20" customHeight="1" spans="1:46" x14ac:dyDescent="0.25">
      <c r="A33" s="30" t="s">
        <v>143</v>
      </c>
      <c r="B33" s="31" t="s">
        <v>144</v>
      </c>
      <c r="C33" s="31" t="s">
        <v>145</v>
      </c>
      <c r="D33" s="30" t="s">
        <v>114</v>
      </c>
      <c r="E33" s="31" t="s">
        <v>72</v>
      </c>
      <c r="F33" s="32">
        <v>46289.125</v>
      </c>
      <c r="G33" s="32">
        <v>46291.125</v>
      </c>
      <c r="H33" s="33">
        <f>G33-F33+1</f>
      </c>
      <c r="I33" s="34">
        <v>1</v>
      </c>
      <c r="J33" s="25" t="s">
        <v>65</v>
      </c>
      <c r="K33" s="30" t="s">
        <v>139</v>
      </c>
      <c r="L33" s="26"/>
      <c r="M33" s="26"/>
      <c r="N33" s="26"/>
      <c r="O33" s="26"/>
      <c r="P33" s="26"/>
      <c r="Q33" s="27"/>
      <c r="R33" s="27"/>
      <c r="S33" s="26"/>
      <c r="T33" s="26"/>
      <c r="U33" s="26"/>
      <c r="V33" s="26"/>
      <c r="W33" s="26"/>
      <c r="X33" s="27"/>
      <c r="Y33" s="27"/>
      <c r="Z33" s="26"/>
      <c r="AA33" s="26"/>
      <c r="AB33" s="26"/>
      <c r="AC33" s="26"/>
      <c r="AD33" s="26"/>
      <c r="AE33" s="27"/>
      <c r="AF33" s="27"/>
      <c r="AG33" s="26"/>
      <c r="AH33" s="26"/>
      <c r="AI33" s="35"/>
      <c r="AJ33" s="35"/>
      <c r="AK33" s="35"/>
      <c r="AL33" s="27"/>
      <c r="AM33" s="27"/>
      <c r="AN33" s="26"/>
      <c r="AO33" s="26"/>
      <c r="AP33" s="29"/>
      <c r="AQ33" s="29"/>
      <c r="AR33" s="29"/>
      <c r="AS33" s="29"/>
      <c r="AT33" s="29"/>
    </row>
    <row r="34" ht="20" customHeight="1" spans="1:46" x14ac:dyDescent="0.25">
      <c r="A34" s="41" t="s">
        <v>146</v>
      </c>
      <c r="B34" s="42" t="s">
        <v>147</v>
      </c>
      <c r="C34" s="42" t="s">
        <v>148</v>
      </c>
      <c r="D34" s="41" t="s">
        <v>149</v>
      </c>
      <c r="E34" s="42" t="s">
        <v>150</v>
      </c>
      <c r="F34" s="43">
        <v>46291.125</v>
      </c>
      <c r="G34" s="43">
        <v>46293.125</v>
      </c>
      <c r="H34" s="44">
        <f>G34-F34+1</f>
      </c>
      <c r="I34" s="45">
        <v>1</v>
      </c>
      <c r="J34" s="25" t="s">
        <v>65</v>
      </c>
      <c r="K34" s="41" t="s">
        <v>151</v>
      </c>
      <c r="L34" s="26"/>
      <c r="M34" s="26"/>
      <c r="N34" s="26"/>
      <c r="O34" s="26"/>
      <c r="P34" s="26"/>
      <c r="Q34" s="27"/>
      <c r="R34" s="27"/>
      <c r="S34" s="26"/>
      <c r="T34" s="26"/>
      <c r="U34" s="26"/>
      <c r="V34" s="26"/>
      <c r="W34" s="26"/>
      <c r="X34" s="27"/>
      <c r="Y34" s="27"/>
      <c r="Z34" s="26"/>
      <c r="AA34" s="26"/>
      <c r="AB34" s="26"/>
      <c r="AC34" s="26"/>
      <c r="AD34" s="26"/>
      <c r="AE34" s="27"/>
      <c r="AF34" s="27"/>
      <c r="AG34" s="26"/>
      <c r="AH34" s="26"/>
      <c r="AI34" s="26"/>
      <c r="AJ34" s="26"/>
      <c r="AK34" s="46" t="s">
        <v>87</v>
      </c>
      <c r="AL34" s="46" t="s">
        <v>87</v>
      </c>
      <c r="AM34" s="46" t="s">
        <v>87</v>
      </c>
      <c r="AN34" s="26"/>
      <c r="AO34" s="26"/>
      <c r="AP34" s="29"/>
      <c r="AQ34" s="29"/>
      <c r="AR34" s="29"/>
      <c r="AS34" s="29"/>
      <c r="AT34" s="29"/>
    </row>
    <row r="35" ht="20" customHeight="1" spans="1:46" x14ac:dyDescent="0.25">
      <c r="A35" s="30" t="s">
        <v>152</v>
      </c>
      <c r="B35" s="31" t="s">
        <v>153</v>
      </c>
      <c r="C35" s="31" t="s">
        <v>154</v>
      </c>
      <c r="D35" s="30" t="s">
        <v>155</v>
      </c>
      <c r="E35" s="31" t="s">
        <v>156</v>
      </c>
      <c r="F35" s="32">
        <v>46293.125</v>
      </c>
      <c r="G35" s="32">
        <v>46295.125</v>
      </c>
      <c r="H35" s="33">
        <f>G35-F35+1</f>
      </c>
      <c r="I35" s="34">
        <v>1</v>
      </c>
      <c r="J35" s="25" t="s">
        <v>65</v>
      </c>
      <c r="K35" s="30" t="s">
        <v>146</v>
      </c>
      <c r="L35" s="26"/>
      <c r="M35" s="26"/>
      <c r="N35" s="26"/>
      <c r="O35" s="26"/>
      <c r="P35" s="26"/>
      <c r="Q35" s="27"/>
      <c r="R35" s="27"/>
      <c r="S35" s="26"/>
      <c r="T35" s="26"/>
      <c r="U35" s="26"/>
      <c r="V35" s="26"/>
      <c r="W35" s="26"/>
      <c r="X35" s="27"/>
      <c r="Y35" s="27"/>
      <c r="Z35" s="26"/>
      <c r="AA35" s="26"/>
      <c r="AB35" s="26"/>
      <c r="AC35" s="26"/>
      <c r="AD35" s="26"/>
      <c r="AE35" s="27"/>
      <c r="AF35" s="27"/>
      <c r="AG35" s="26"/>
      <c r="AH35" s="26"/>
      <c r="AI35" s="26"/>
      <c r="AJ35" s="26"/>
      <c r="AK35" s="26"/>
      <c r="AL35" s="27"/>
      <c r="AM35" s="35"/>
      <c r="AN35" s="35"/>
      <c r="AO35" s="35"/>
      <c r="AP35" s="29"/>
      <c r="AQ35" s="29"/>
      <c r="AR35" s="29"/>
      <c r="AS35" s="29"/>
      <c r="AT35" s="29"/>
    </row>
    <row r="36" ht="20" customHeight="1" spans="1:46" x14ac:dyDescent="0.25">
      <c r="A36" s="41" t="s">
        <v>157</v>
      </c>
      <c r="B36" s="42" t="s">
        <v>158</v>
      </c>
      <c r="C36" s="42" t="s">
        <v>159</v>
      </c>
      <c r="D36" s="41" t="s">
        <v>160</v>
      </c>
      <c r="E36" s="42" t="s">
        <v>72</v>
      </c>
      <c r="F36" s="43">
        <v>46293.125</v>
      </c>
      <c r="G36" s="43">
        <v>46295.125</v>
      </c>
      <c r="H36" s="44">
        <f>G36-F36+1</f>
      </c>
      <c r="I36" s="45">
        <v>1</v>
      </c>
      <c r="J36" s="25" t="s">
        <v>65</v>
      </c>
      <c r="K36" s="41" t="s">
        <v>152</v>
      </c>
      <c r="L36" s="26"/>
      <c r="M36" s="26"/>
      <c r="N36" s="26"/>
      <c r="O36" s="26"/>
      <c r="P36" s="26"/>
      <c r="Q36" s="27"/>
      <c r="R36" s="27"/>
      <c r="S36" s="26"/>
      <c r="T36" s="26"/>
      <c r="U36" s="26"/>
      <c r="V36" s="26"/>
      <c r="W36" s="26"/>
      <c r="X36" s="27"/>
      <c r="Y36" s="27"/>
      <c r="Z36" s="26"/>
      <c r="AA36" s="26"/>
      <c r="AB36" s="26"/>
      <c r="AC36" s="26"/>
      <c r="AD36" s="26"/>
      <c r="AE36" s="27"/>
      <c r="AF36" s="27"/>
      <c r="AG36" s="26"/>
      <c r="AH36" s="26"/>
      <c r="AI36" s="26"/>
      <c r="AJ36" s="26"/>
      <c r="AK36" s="26"/>
      <c r="AL36" s="27"/>
      <c r="AM36" s="46" t="s">
        <v>87</v>
      </c>
      <c r="AN36" s="46" t="s">
        <v>87</v>
      </c>
      <c r="AO36" s="46" t="s">
        <v>87</v>
      </c>
      <c r="AP36" s="29"/>
      <c r="AQ36" s="29"/>
      <c r="AR36" s="29"/>
      <c r="AS36" s="29"/>
      <c r="AT36" s="29"/>
    </row>
    <row r="37" ht="22" customHeight="1" spans="1:37" x14ac:dyDescent="0.25">
      <c r="A37" s="50" t="s">
        <v>161</v>
      </c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</row>
    <row r="38" ht="20" customHeight="1" spans="1:46" x14ac:dyDescent="0.25">
      <c r="A38" s="20" t="s">
        <v>162</v>
      </c>
      <c r="B38" s="21" t="s">
        <v>163</v>
      </c>
      <c r="C38" s="21" t="s">
        <v>164</v>
      </c>
      <c r="D38" s="20" t="s">
        <v>63</v>
      </c>
      <c r="E38" s="21" t="s">
        <v>165</v>
      </c>
      <c r="F38" s="22">
        <v>46300.125</v>
      </c>
      <c r="G38" s="22">
        <v>46300.125</v>
      </c>
      <c r="H38" s="23">
        <f>G38-F38+1</f>
      </c>
      <c r="I38" s="24">
        <v>0.15</v>
      </c>
      <c r="J38" s="51" t="s">
        <v>166</v>
      </c>
      <c r="K38" s="20" t="s">
        <v>167</v>
      </c>
      <c r="L38" s="26"/>
      <c r="M38" s="26"/>
      <c r="N38" s="26"/>
      <c r="O38" s="26"/>
      <c r="P38" s="26"/>
      <c r="Q38" s="27"/>
      <c r="R38" s="27"/>
      <c r="S38" s="26"/>
      <c r="T38" s="26"/>
      <c r="U38" s="26"/>
      <c r="V38" s="26"/>
      <c r="W38" s="26"/>
      <c r="X38" s="27"/>
      <c r="Y38" s="27"/>
      <c r="Z38" s="26"/>
      <c r="AA38" s="26"/>
      <c r="AB38" s="26"/>
      <c r="AC38" s="26"/>
      <c r="AD38" s="26"/>
      <c r="AE38" s="27"/>
      <c r="AF38" s="27"/>
      <c r="AG38" s="26"/>
      <c r="AH38" s="26"/>
      <c r="AI38" s="26"/>
      <c r="AJ38" s="26"/>
      <c r="AK38" s="26"/>
      <c r="AL38" s="27"/>
      <c r="AM38" s="27"/>
      <c r="AN38" s="26"/>
      <c r="AO38" s="26"/>
      <c r="AP38" s="29"/>
      <c r="AQ38" s="29"/>
      <c r="AR38" s="29"/>
      <c r="AS38" s="29"/>
      <c r="AT38" s="28" t="s">
        <v>67</v>
      </c>
    </row>
    <row r="39" ht="20" customHeight="1" spans="1:46" x14ac:dyDescent="0.25">
      <c r="A39" s="30" t="s">
        <v>168</v>
      </c>
      <c r="B39" s="31" t="s">
        <v>169</v>
      </c>
      <c r="C39" s="31" t="s">
        <v>170</v>
      </c>
      <c r="D39" s="30" t="s">
        <v>171</v>
      </c>
      <c r="E39" s="31" t="s">
        <v>150</v>
      </c>
      <c r="F39" s="32">
        <v>46294.125</v>
      </c>
      <c r="G39" s="32">
        <v>46298.125</v>
      </c>
      <c r="H39" s="33">
        <f>G39-F39+1</f>
      </c>
      <c r="I39" s="34">
        <v>0.25</v>
      </c>
      <c r="J39" s="51" t="s">
        <v>166</v>
      </c>
      <c r="K39" s="30" t="s">
        <v>146</v>
      </c>
      <c r="L39" s="26"/>
      <c r="M39" s="26"/>
      <c r="N39" s="26"/>
      <c r="O39" s="26"/>
      <c r="P39" s="26"/>
      <c r="Q39" s="27"/>
      <c r="R39" s="27"/>
      <c r="S39" s="26"/>
      <c r="T39" s="26"/>
      <c r="U39" s="26"/>
      <c r="V39" s="26"/>
      <c r="W39" s="26"/>
      <c r="X39" s="27"/>
      <c r="Y39" s="27"/>
      <c r="Z39" s="26"/>
      <c r="AA39" s="26"/>
      <c r="AB39" s="26"/>
      <c r="AC39" s="26"/>
      <c r="AD39" s="26"/>
      <c r="AE39" s="27"/>
      <c r="AF39" s="27"/>
      <c r="AG39" s="26"/>
      <c r="AH39" s="26"/>
      <c r="AI39" s="26"/>
      <c r="AJ39" s="26"/>
      <c r="AK39" s="26"/>
      <c r="AL39" s="27"/>
      <c r="AM39" s="27"/>
      <c r="AN39" s="52"/>
      <c r="AO39" s="52"/>
      <c r="AP39" s="52"/>
      <c r="AQ39" s="52"/>
      <c r="AR39" s="52"/>
      <c r="AS39" s="29"/>
      <c r="AT39" s="29"/>
    </row>
    <row r="40" ht="20" customHeight="1" spans="1:46" x14ac:dyDescent="0.25">
      <c r="A40" s="36" t="s">
        <v>172</v>
      </c>
      <c r="B40" s="37" t="s">
        <v>173</v>
      </c>
      <c r="C40" s="37" t="s">
        <v>174</v>
      </c>
      <c r="D40" s="36" t="s">
        <v>175</v>
      </c>
      <c r="E40" s="37" t="s">
        <v>86</v>
      </c>
      <c r="F40" s="38">
        <v>46296.125</v>
      </c>
      <c r="G40" s="38">
        <v>46299.125</v>
      </c>
      <c r="H40" s="39">
        <f>G40-F40+1</f>
      </c>
      <c r="I40" s="40">
        <v>0.1</v>
      </c>
      <c r="J40" s="53" t="s">
        <v>176</v>
      </c>
      <c r="K40" s="36" t="s">
        <v>168</v>
      </c>
      <c r="L40" s="26"/>
      <c r="M40" s="26"/>
      <c r="N40" s="26"/>
      <c r="O40" s="26"/>
      <c r="P40" s="26"/>
      <c r="Q40" s="27"/>
      <c r="R40" s="27"/>
      <c r="S40" s="26"/>
      <c r="T40" s="26"/>
      <c r="U40" s="26"/>
      <c r="V40" s="26"/>
      <c r="W40" s="26"/>
      <c r="X40" s="27"/>
      <c r="Y40" s="27"/>
      <c r="Z40" s="26"/>
      <c r="AA40" s="26"/>
      <c r="AB40" s="26"/>
      <c r="AC40" s="26"/>
      <c r="AD40" s="26"/>
      <c r="AE40" s="27"/>
      <c r="AF40" s="27"/>
      <c r="AG40" s="26"/>
      <c r="AH40" s="26"/>
      <c r="AI40" s="26"/>
      <c r="AJ40" s="26"/>
      <c r="AK40" s="26"/>
      <c r="AL40" s="27"/>
      <c r="AM40" s="27"/>
      <c r="AN40" s="26"/>
      <c r="AO40" s="26"/>
      <c r="AP40" s="54"/>
      <c r="AQ40" s="54"/>
      <c r="AR40" s="54"/>
      <c r="AS40" s="54"/>
      <c r="AT40" s="29"/>
    </row>
    <row r="41" ht="20" customHeight="1" spans="1:46" x14ac:dyDescent="0.25">
      <c r="A41" s="30" t="s">
        <v>177</v>
      </c>
      <c r="B41" s="31" t="s">
        <v>178</v>
      </c>
      <c r="C41" s="31" t="s">
        <v>179</v>
      </c>
      <c r="D41" s="30" t="s">
        <v>180</v>
      </c>
      <c r="E41" s="31" t="s">
        <v>86</v>
      </c>
      <c r="F41" s="32">
        <v>46297.125</v>
      </c>
      <c r="G41" s="32">
        <v>46300.125</v>
      </c>
      <c r="H41" s="33">
        <f>G41-F41+1</f>
      </c>
      <c r="I41" s="34">
        <v>0</v>
      </c>
      <c r="J41" s="53" t="s">
        <v>176</v>
      </c>
      <c r="K41" s="30" t="s">
        <v>168</v>
      </c>
      <c r="L41" s="26"/>
      <c r="M41" s="26"/>
      <c r="N41" s="26"/>
      <c r="O41" s="26"/>
      <c r="P41" s="26"/>
      <c r="Q41" s="27"/>
      <c r="R41" s="27"/>
      <c r="S41" s="26"/>
      <c r="T41" s="26"/>
      <c r="U41" s="26"/>
      <c r="V41" s="26"/>
      <c r="W41" s="26"/>
      <c r="X41" s="27"/>
      <c r="Y41" s="27"/>
      <c r="Z41" s="26"/>
      <c r="AA41" s="26"/>
      <c r="AB41" s="26"/>
      <c r="AC41" s="26"/>
      <c r="AD41" s="26"/>
      <c r="AE41" s="27"/>
      <c r="AF41" s="27"/>
      <c r="AG41" s="26"/>
      <c r="AH41" s="26"/>
      <c r="AI41" s="26"/>
      <c r="AJ41" s="26"/>
      <c r="AK41" s="26"/>
      <c r="AL41" s="27"/>
      <c r="AM41" s="27"/>
      <c r="AN41" s="26"/>
      <c r="AO41" s="26"/>
      <c r="AP41" s="29"/>
      <c r="AQ41" s="54"/>
      <c r="AR41" s="54"/>
      <c r="AS41" s="54"/>
      <c r="AT41" s="54"/>
    </row>
    <row r="42" ht="20" customHeight="1" spans="1:46" x14ac:dyDescent="0.25">
      <c r="A42" s="36" t="s">
        <v>181</v>
      </c>
      <c r="B42" s="37" t="s">
        <v>182</v>
      </c>
      <c r="C42" s="37" t="s">
        <v>183</v>
      </c>
      <c r="D42" s="36" t="s">
        <v>180</v>
      </c>
      <c r="E42" s="37" t="s">
        <v>150</v>
      </c>
      <c r="F42" s="38">
        <v>46298.125</v>
      </c>
      <c r="G42" s="38">
        <v>46300.125</v>
      </c>
      <c r="H42" s="39">
        <f>G42-F42+1</f>
      </c>
      <c r="I42" s="40">
        <v>0</v>
      </c>
      <c r="J42" s="53" t="s">
        <v>176</v>
      </c>
      <c r="K42" s="36" t="s">
        <v>168</v>
      </c>
      <c r="L42" s="26"/>
      <c r="M42" s="26"/>
      <c r="N42" s="26"/>
      <c r="O42" s="26"/>
      <c r="P42" s="26"/>
      <c r="Q42" s="27"/>
      <c r="R42" s="27"/>
      <c r="S42" s="26"/>
      <c r="T42" s="26"/>
      <c r="U42" s="26"/>
      <c r="V42" s="26"/>
      <c r="W42" s="26"/>
      <c r="X42" s="27"/>
      <c r="Y42" s="27"/>
      <c r="Z42" s="26"/>
      <c r="AA42" s="26"/>
      <c r="AB42" s="26"/>
      <c r="AC42" s="26"/>
      <c r="AD42" s="26"/>
      <c r="AE42" s="27"/>
      <c r="AF42" s="27"/>
      <c r="AG42" s="26"/>
      <c r="AH42" s="26"/>
      <c r="AI42" s="26"/>
      <c r="AJ42" s="26"/>
      <c r="AK42" s="26"/>
      <c r="AL42" s="27"/>
      <c r="AM42" s="27"/>
      <c r="AN42" s="26"/>
      <c r="AO42" s="26"/>
      <c r="AP42" s="29"/>
      <c r="AQ42" s="29"/>
      <c r="AR42" s="54"/>
      <c r="AS42" s="54"/>
      <c r="AT42" s="54"/>
    </row>
    <row r="43" ht="20" customHeight="1" spans="1:46" x14ac:dyDescent="0.25">
      <c r="A43" s="30" t="s">
        <v>184</v>
      </c>
      <c r="B43" s="31" t="s">
        <v>185</v>
      </c>
      <c r="C43" s="31" t="s">
        <v>186</v>
      </c>
      <c r="D43" s="30" t="s">
        <v>187</v>
      </c>
      <c r="E43" s="31" t="s">
        <v>188</v>
      </c>
      <c r="F43" s="32">
        <v>46296.125</v>
      </c>
      <c r="G43" s="32">
        <v>46300.125</v>
      </c>
      <c r="H43" s="33">
        <f>G43-F43+1</f>
      </c>
      <c r="I43" s="34">
        <v>0</v>
      </c>
      <c r="J43" s="30" t="s">
        <v>189</v>
      </c>
      <c r="K43" s="30" t="s">
        <v>73</v>
      </c>
      <c r="L43" s="26"/>
      <c r="M43" s="26"/>
      <c r="N43" s="26"/>
      <c r="O43" s="26"/>
      <c r="P43" s="26"/>
      <c r="Q43" s="27"/>
      <c r="R43" s="27"/>
      <c r="S43" s="26"/>
      <c r="T43" s="26"/>
      <c r="U43" s="26"/>
      <c r="V43" s="26"/>
      <c r="W43" s="26"/>
      <c r="X43" s="27"/>
      <c r="Y43" s="27"/>
      <c r="Z43" s="26"/>
      <c r="AA43" s="26"/>
      <c r="AB43" s="26"/>
      <c r="AC43" s="26"/>
      <c r="AD43" s="26"/>
      <c r="AE43" s="27"/>
      <c r="AF43" s="27"/>
      <c r="AG43" s="26"/>
      <c r="AH43" s="26"/>
      <c r="AI43" s="26"/>
      <c r="AJ43" s="26"/>
      <c r="AK43" s="26"/>
      <c r="AL43" s="27"/>
      <c r="AM43" s="27"/>
      <c r="AN43" s="26"/>
      <c r="AO43" s="26"/>
      <c r="AP43" s="54"/>
      <c r="AQ43" s="54"/>
      <c r="AR43" s="54"/>
      <c r="AS43" s="54"/>
      <c r="AT43" s="54"/>
    </row>
    <row r="44" ht="20" customHeight="1" spans="1:46" x14ac:dyDescent="0.25">
      <c r="A44" s="55" t="s">
        <v>190</v>
      </c>
      <c r="B44" s="56" t="s">
        <v>191</v>
      </c>
      <c r="C44" s="57" t="s">
        <v>192</v>
      </c>
      <c r="D44" s="55" t="s">
        <v>180</v>
      </c>
      <c r="E44" s="56" t="s">
        <v>188</v>
      </c>
      <c r="F44" s="55"/>
      <c r="G44" s="55"/>
      <c r="H44" s="55">
        <f>IF(OR(F44="",G44=""),"",G44-F44+1)</f>
      </c>
      <c r="I44" s="58">
        <v>0</v>
      </c>
      <c r="J44" s="55" t="s">
        <v>189</v>
      </c>
      <c r="K44" s="55" t="s">
        <v>73</v>
      </c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</row>
    <row r="45" ht="20" customHeight="1" spans="1:46" x14ac:dyDescent="0.25">
      <c r="A45" s="55" t="s">
        <v>193</v>
      </c>
      <c r="B45" s="56" t="s">
        <v>191</v>
      </c>
      <c r="C45" s="57" t="s">
        <v>194</v>
      </c>
      <c r="D45" s="55" t="s">
        <v>180</v>
      </c>
      <c r="E45" s="56" t="s">
        <v>188</v>
      </c>
      <c r="F45" s="55"/>
      <c r="G45" s="55"/>
      <c r="H45" s="55">
        <f>IF(OR(F45="",G45=""),"",G45-F45+1)</f>
      </c>
      <c r="I45" s="58">
        <v>0</v>
      </c>
      <c r="J45" s="55" t="s">
        <v>189</v>
      </c>
      <c r="K45" s="55" t="s">
        <v>73</v>
      </c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</row>
    <row r="46" ht="20" customHeight="1" spans="1:46" x14ac:dyDescent="0.25">
      <c r="A46" s="55" t="s">
        <v>195</v>
      </c>
      <c r="B46" s="56" t="s">
        <v>191</v>
      </c>
      <c r="C46" s="57" t="s">
        <v>196</v>
      </c>
      <c r="D46" s="55" t="s">
        <v>180</v>
      </c>
      <c r="E46" s="56" t="s">
        <v>188</v>
      </c>
      <c r="F46" s="55"/>
      <c r="G46" s="55"/>
      <c r="H46" s="55">
        <f>IF(OR(F46="",G46=""),"",G46-F46+1)</f>
      </c>
      <c r="I46" s="58">
        <v>0</v>
      </c>
      <c r="J46" s="55" t="s">
        <v>189</v>
      </c>
      <c r="K46" s="55" t="s">
        <v>73</v>
      </c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</row>
    <row r="47" ht="20" customHeight="1" spans="1:46" x14ac:dyDescent="0.25">
      <c r="A47" s="55" t="s">
        <v>197</v>
      </c>
      <c r="B47" s="56" t="s">
        <v>191</v>
      </c>
      <c r="C47" s="57" t="s">
        <v>198</v>
      </c>
      <c r="D47" s="55" t="s">
        <v>180</v>
      </c>
      <c r="E47" s="56" t="s">
        <v>188</v>
      </c>
      <c r="F47" s="55"/>
      <c r="G47" s="55"/>
      <c r="H47" s="55">
        <f>IF(OR(F47="",G47=""),"",G47-F47+1)</f>
      </c>
      <c r="I47" s="58">
        <v>0</v>
      </c>
      <c r="J47" s="55" t="s">
        <v>189</v>
      </c>
      <c r="K47" s="55" t="s">
        <v>73</v>
      </c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</row>
    <row r="48" ht="20" customHeight="1" spans="1:46" x14ac:dyDescent="0.25">
      <c r="A48" s="55" t="s">
        <v>199</v>
      </c>
      <c r="B48" s="56" t="s">
        <v>191</v>
      </c>
      <c r="C48" s="57" t="s">
        <v>200</v>
      </c>
      <c r="D48" s="55" t="s">
        <v>180</v>
      </c>
      <c r="E48" s="56" t="s">
        <v>188</v>
      </c>
      <c r="F48" s="55"/>
      <c r="G48" s="55"/>
      <c r="H48" s="55">
        <f>IF(OR(F48="",G48=""),"",G48-F48+1)</f>
      </c>
      <c r="I48" s="58">
        <v>0</v>
      </c>
      <c r="J48" s="55" t="s">
        <v>189</v>
      </c>
      <c r="K48" s="55" t="s">
        <v>73</v>
      </c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  <c r="AN48" s="59"/>
      <c r="AO48" s="59"/>
      <c r="AP48" s="59"/>
      <c r="AQ48" s="59"/>
      <c r="AR48" s="59"/>
      <c r="AS48" s="59"/>
      <c r="AT48" s="59"/>
    </row>
    <row r="51" spans="1:27" x14ac:dyDescent="0.25">
      <c r="A51" s="60" t="s">
        <v>201</v>
      </c>
      <c r="B51" s="60"/>
      <c r="C51" s="60"/>
      <c r="D51" s="61" t="s">
        <v>202</v>
      </c>
      <c r="E51" s="61"/>
      <c r="F51" s="61"/>
      <c r="G51" s="61"/>
      <c r="H51" s="62" t="s">
        <v>203</v>
      </c>
      <c r="I51" s="62"/>
      <c r="J51" s="62"/>
      <c r="K51" s="62"/>
      <c r="L51" s="63" t="s">
        <v>204</v>
      </c>
      <c r="M51" s="63"/>
      <c r="N51" s="63"/>
      <c r="O51" s="63"/>
      <c r="P51" s="64" t="s">
        <v>205</v>
      </c>
      <c r="Q51" s="64"/>
      <c r="R51" s="64"/>
      <c r="S51" s="64"/>
      <c r="T51" s="65" t="s">
        <v>206</v>
      </c>
      <c r="U51" s="65"/>
      <c r="V51" s="65"/>
      <c r="W51" s="65"/>
      <c r="X51" s="66" t="s">
        <v>207</v>
      </c>
      <c r="Y51" s="66"/>
      <c r="Z51" s="66"/>
      <c r="AA51" s="66"/>
    </row>
  </sheetData>
  <mergeCells count="41">
    <mergeCell ref="A1:AK1"/>
    <mergeCell ref="A2:AK2"/>
    <mergeCell ref="A4:C4"/>
    <mergeCell ref="D4:F4"/>
    <mergeCell ref="G4:I4"/>
    <mergeCell ref="J4:L4"/>
    <mergeCell ref="M4:O4"/>
    <mergeCell ref="P4:R4"/>
    <mergeCell ref="D5:F5"/>
    <mergeCell ref="G5:I5"/>
    <mergeCell ref="J5:L5"/>
    <mergeCell ref="M5:O5"/>
    <mergeCell ref="P5:R5"/>
    <mergeCell ref="L7:R7"/>
    <mergeCell ref="S7:Y7"/>
    <mergeCell ref="Z7:AF7"/>
    <mergeCell ref="AG7:AO7"/>
    <mergeCell ref="AP7:AT7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A9:AK9"/>
    <mergeCell ref="A17:AK17"/>
    <mergeCell ref="A24:AK24"/>
    <mergeCell ref="A30:AK30"/>
    <mergeCell ref="A37:AK37"/>
    <mergeCell ref="A51:C51"/>
    <mergeCell ref="D51:G51"/>
    <mergeCell ref="H51:K51"/>
    <mergeCell ref="L51:O51"/>
    <mergeCell ref="P51:S51"/>
    <mergeCell ref="T51:W51"/>
    <mergeCell ref="X51:AA5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RowHeight="15" outlineLevelRow="0" outlineLevelCol="0" x14ac:dyDescent="55"/>
  <cols>
    <col min="1" max="1" width="10" customWidth="1"/>
    <col min="2" max="2" width="34" customWidth="1"/>
    <col min="3" max="3" width="14" customWidth="1"/>
    <col min="4" max="4" width="48" customWidth="1"/>
    <col min="5" max="5" width="44" customWidth="1"/>
    <col min="6" max="6" width="14" customWidth="1"/>
    <col min="7" max="7" width="36" customWidth="1"/>
  </cols>
  <sheetData>
    <row r="1" ht="32" customHeight="1" spans="1:7" x14ac:dyDescent="0.25">
      <c r="A1" s="67" t="s">
        <v>208</v>
      </c>
      <c r="B1" s="67"/>
      <c r="C1" s="67"/>
      <c r="D1" s="67"/>
      <c r="E1" s="67"/>
      <c r="F1" s="67"/>
      <c r="G1" s="67"/>
    </row>
    <row r="3" ht="24" customHeight="1" spans="1:7" x14ac:dyDescent="0.25">
      <c r="A3" s="68" t="s">
        <v>209</v>
      </c>
      <c r="B3" s="68" t="s">
        <v>210</v>
      </c>
      <c r="C3" s="68" t="s">
        <v>211</v>
      </c>
      <c r="D3" s="68" t="s">
        <v>212</v>
      </c>
      <c r="E3" s="68" t="s">
        <v>213</v>
      </c>
      <c r="F3" s="68" t="s">
        <v>17</v>
      </c>
      <c r="G3" s="68" t="s">
        <v>214</v>
      </c>
    </row>
    <row r="4" spans="1:7" x14ac:dyDescent="0.25">
      <c r="A4" s="69" t="s">
        <v>215</v>
      </c>
      <c r="B4" s="70" t="s">
        <v>216</v>
      </c>
      <c r="C4" s="71" t="s">
        <v>217</v>
      </c>
      <c r="D4" s="70" t="s">
        <v>218</v>
      </c>
      <c r="E4" s="70" t="s">
        <v>219</v>
      </c>
      <c r="F4" s="72" t="s">
        <v>65</v>
      </c>
      <c r="G4" s="70" t="s">
        <v>220</v>
      </c>
    </row>
    <row r="5" spans="1:7" x14ac:dyDescent="0.25">
      <c r="A5" s="69" t="s">
        <v>221</v>
      </c>
      <c r="B5" s="73" t="s">
        <v>222</v>
      </c>
      <c r="C5" s="74" t="s">
        <v>223</v>
      </c>
      <c r="D5" s="73" t="s">
        <v>224</v>
      </c>
      <c r="E5" s="73" t="s">
        <v>225</v>
      </c>
      <c r="F5" s="72" t="s">
        <v>65</v>
      </c>
      <c r="G5" s="73" t="s">
        <v>226</v>
      </c>
    </row>
    <row r="6" spans="1:7" x14ac:dyDescent="0.25">
      <c r="A6" s="69" t="s">
        <v>227</v>
      </c>
      <c r="B6" s="70" t="s">
        <v>228</v>
      </c>
      <c r="C6" s="71" t="s">
        <v>229</v>
      </c>
      <c r="D6" s="70" t="s">
        <v>230</v>
      </c>
      <c r="E6" s="70" t="s">
        <v>231</v>
      </c>
      <c r="F6" s="72" t="s">
        <v>65</v>
      </c>
      <c r="G6" s="70" t="s">
        <v>232</v>
      </c>
    </row>
    <row r="7" spans="1:7" x14ac:dyDescent="0.25">
      <c r="A7" s="69" t="s">
        <v>233</v>
      </c>
      <c r="B7" s="73" t="s">
        <v>234</v>
      </c>
      <c r="C7" s="74" t="s">
        <v>235</v>
      </c>
      <c r="D7" s="73" t="s">
        <v>236</v>
      </c>
      <c r="E7" s="73" t="s">
        <v>237</v>
      </c>
      <c r="F7" s="72" t="s">
        <v>65</v>
      </c>
      <c r="G7" s="73" t="s">
        <v>238</v>
      </c>
    </row>
    <row r="8" spans="1:7" x14ac:dyDescent="0.25">
      <c r="A8" s="69" t="s">
        <v>239</v>
      </c>
      <c r="B8" s="70" t="s">
        <v>240</v>
      </c>
      <c r="C8" s="71" t="s">
        <v>241</v>
      </c>
      <c r="D8" s="70" t="s">
        <v>242</v>
      </c>
      <c r="E8" s="70" t="s">
        <v>243</v>
      </c>
      <c r="F8" s="75" t="s">
        <v>166</v>
      </c>
      <c r="G8" s="70" t="s">
        <v>244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/>
  </sheetViews>
  <sheetFormatPr defaultRowHeight="15" outlineLevelRow="0" outlineLevelCol="0" x14ac:dyDescent="55"/>
  <cols>
    <col min="1" max="1" width="14" customWidth="1"/>
    <col min="2" max="2" width="12" customWidth="1"/>
    <col min="3" max="3" width="28" customWidth="1"/>
    <col min="4" max="4" width="18" customWidth="1"/>
    <col min="5" max="5" width="44" customWidth="1"/>
    <col min="6" max="6" width="34" customWidth="1"/>
    <col min="7" max="7" width="30" customWidth="1"/>
    <col min="8" max="8" width="14" customWidth="1"/>
  </cols>
  <sheetData>
    <row r="1" ht="32" customHeight="1" spans="1:8" x14ac:dyDescent="0.25">
      <c r="A1" s="67" t="s">
        <v>245</v>
      </c>
      <c r="B1" s="67"/>
      <c r="C1" s="67"/>
      <c r="D1" s="67"/>
      <c r="E1" s="67"/>
      <c r="F1" s="67"/>
      <c r="G1" s="67"/>
      <c r="H1" s="67"/>
    </row>
    <row r="3" ht="24" customHeight="1" spans="1:8" x14ac:dyDescent="0.25">
      <c r="A3" s="68" t="s">
        <v>246</v>
      </c>
      <c r="B3" s="68" t="s">
        <v>247</v>
      </c>
      <c r="C3" s="68" t="s">
        <v>248</v>
      </c>
      <c r="D3" s="68" t="s">
        <v>249</v>
      </c>
      <c r="E3" s="68" t="s">
        <v>250</v>
      </c>
      <c r="F3" s="68" t="s">
        <v>251</v>
      </c>
      <c r="G3" s="68" t="s">
        <v>252</v>
      </c>
      <c r="H3" s="68" t="s">
        <v>17</v>
      </c>
    </row>
    <row r="4" spans="1:8" x14ac:dyDescent="0.25">
      <c r="A4" s="76" t="s">
        <v>253</v>
      </c>
      <c r="B4" s="71" t="s">
        <v>254</v>
      </c>
      <c r="C4" s="70" t="s">
        <v>255</v>
      </c>
      <c r="D4" s="71" t="s">
        <v>256</v>
      </c>
      <c r="E4" s="70" t="s">
        <v>257</v>
      </c>
      <c r="F4" s="70" t="s">
        <v>258</v>
      </c>
      <c r="G4" s="70" t="s">
        <v>259</v>
      </c>
      <c r="H4" s="72" t="s">
        <v>260</v>
      </c>
    </row>
    <row r="5" spans="1:8" x14ac:dyDescent="0.25">
      <c r="A5" s="77" t="s">
        <v>261</v>
      </c>
      <c r="B5" s="74" t="s">
        <v>262</v>
      </c>
      <c r="C5" s="73" t="s">
        <v>263</v>
      </c>
      <c r="D5" s="74" t="s">
        <v>256</v>
      </c>
      <c r="E5" s="73" t="s">
        <v>264</v>
      </c>
      <c r="F5" s="73" t="s">
        <v>265</v>
      </c>
      <c r="G5" s="73" t="s">
        <v>266</v>
      </c>
      <c r="H5" s="72" t="s">
        <v>260</v>
      </c>
    </row>
    <row r="6" spans="1:8" x14ac:dyDescent="0.25">
      <c r="A6" s="76" t="s">
        <v>267</v>
      </c>
      <c r="B6" s="71" t="s">
        <v>268</v>
      </c>
      <c r="C6" s="70" t="s">
        <v>269</v>
      </c>
      <c r="D6" s="71" t="s">
        <v>270</v>
      </c>
      <c r="E6" s="70" t="s">
        <v>271</v>
      </c>
      <c r="F6" s="70" t="s">
        <v>272</v>
      </c>
      <c r="G6" s="70" t="s">
        <v>273</v>
      </c>
      <c r="H6" s="72" t="s">
        <v>260</v>
      </c>
    </row>
    <row r="7" spans="1:8" x14ac:dyDescent="0.25">
      <c r="A7" s="77" t="s">
        <v>274</v>
      </c>
      <c r="B7" s="74" t="s">
        <v>275</v>
      </c>
      <c r="C7" s="73" t="s">
        <v>276</v>
      </c>
      <c r="D7" s="74" t="s">
        <v>277</v>
      </c>
      <c r="E7" s="73" t="s">
        <v>278</v>
      </c>
      <c r="F7" s="73" t="s">
        <v>279</v>
      </c>
      <c r="G7" s="73" t="s">
        <v>280</v>
      </c>
      <c r="H7" s="72" t="s">
        <v>260</v>
      </c>
    </row>
    <row r="8" spans="1:8" x14ac:dyDescent="0.25">
      <c r="A8" s="76" t="s">
        <v>281</v>
      </c>
      <c r="B8" s="71" t="s">
        <v>282</v>
      </c>
      <c r="C8" s="70" t="s">
        <v>283</v>
      </c>
      <c r="D8" s="71" t="s">
        <v>123</v>
      </c>
      <c r="E8" s="70" t="s">
        <v>284</v>
      </c>
      <c r="F8" s="70" t="s">
        <v>285</v>
      </c>
      <c r="G8" s="70" t="s">
        <v>286</v>
      </c>
      <c r="H8" s="72" t="s">
        <v>260</v>
      </c>
    </row>
    <row r="9" spans="1:8" x14ac:dyDescent="0.25">
      <c r="A9" s="77" t="s">
        <v>287</v>
      </c>
      <c r="B9" s="74" t="s">
        <v>288</v>
      </c>
      <c r="C9" s="73" t="s">
        <v>289</v>
      </c>
      <c r="D9" s="74" t="s">
        <v>290</v>
      </c>
      <c r="E9" s="73" t="s">
        <v>291</v>
      </c>
      <c r="F9" s="73" t="s">
        <v>292</v>
      </c>
      <c r="G9" s="73" t="s">
        <v>293</v>
      </c>
      <c r="H9" s="72" t="s">
        <v>260</v>
      </c>
    </row>
    <row r="10" spans="1:8" x14ac:dyDescent="0.25">
      <c r="A10" s="76" t="s">
        <v>294</v>
      </c>
      <c r="B10" s="71" t="s">
        <v>235</v>
      </c>
      <c r="C10" s="70" t="s">
        <v>295</v>
      </c>
      <c r="D10" s="71" t="s">
        <v>296</v>
      </c>
      <c r="E10" s="70" t="s">
        <v>297</v>
      </c>
      <c r="F10" s="70" t="s">
        <v>298</v>
      </c>
      <c r="G10" s="70" t="s">
        <v>299</v>
      </c>
      <c r="H10" s="72" t="s">
        <v>260</v>
      </c>
    </row>
    <row r="11" spans="1:8" x14ac:dyDescent="0.25">
      <c r="A11" s="77" t="s">
        <v>300</v>
      </c>
      <c r="B11" s="74" t="s">
        <v>301</v>
      </c>
      <c r="C11" s="73" t="s">
        <v>302</v>
      </c>
      <c r="D11" s="74" t="s">
        <v>303</v>
      </c>
      <c r="E11" s="73" t="s">
        <v>304</v>
      </c>
      <c r="F11" s="73" t="s">
        <v>305</v>
      </c>
      <c r="G11" s="73" t="s">
        <v>306</v>
      </c>
      <c r="H11" s="72" t="s">
        <v>260</v>
      </c>
    </row>
    <row r="12" spans="1:8" x14ac:dyDescent="0.25">
      <c r="A12" s="76" t="s">
        <v>307</v>
      </c>
      <c r="B12" s="71" t="s">
        <v>301</v>
      </c>
      <c r="C12" s="70" t="s">
        <v>308</v>
      </c>
      <c r="D12" s="71" t="s">
        <v>309</v>
      </c>
      <c r="E12" s="70" t="s">
        <v>310</v>
      </c>
      <c r="F12" s="70" t="s">
        <v>311</v>
      </c>
      <c r="G12" s="70" t="s">
        <v>312</v>
      </c>
      <c r="H12" s="72" t="s">
        <v>260</v>
      </c>
    </row>
    <row r="13" spans="1:8" x14ac:dyDescent="0.25">
      <c r="A13" s="77" t="s">
        <v>313</v>
      </c>
      <c r="B13" s="74" t="s">
        <v>241</v>
      </c>
      <c r="C13" s="73" t="s">
        <v>314</v>
      </c>
      <c r="D13" s="74" t="s">
        <v>315</v>
      </c>
      <c r="E13" s="73" t="s">
        <v>316</v>
      </c>
      <c r="F13" s="73" t="s">
        <v>317</v>
      </c>
      <c r="G13" s="73" t="s">
        <v>318</v>
      </c>
      <c r="H13" s="78" t="s">
        <v>319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/>
  </sheetViews>
  <sheetFormatPr defaultRowHeight="15" outlineLevelRow="0" outlineLevelCol="0" x14ac:dyDescent="55"/>
  <cols>
    <col min="1" max="1" width="8" customWidth="1"/>
    <col min="2" max="2" width="24" customWidth="1"/>
    <col min="3" max="3" width="50" customWidth="1"/>
    <col min="4" max="4" width="36" customWidth="1"/>
    <col min="5" max="5" width="20" customWidth="1"/>
    <col min="6" max="6" width="18" customWidth="1"/>
  </cols>
  <sheetData>
    <row r="1" ht="32" customHeight="1" spans="1:6" x14ac:dyDescent="0.25">
      <c r="A1" s="67" t="s">
        <v>320</v>
      </c>
      <c r="B1" s="67"/>
      <c r="C1" s="67"/>
      <c r="D1" s="67"/>
      <c r="E1" s="67"/>
      <c r="F1" s="67"/>
    </row>
    <row r="3" ht="24" customHeight="1" spans="1:5" x14ac:dyDescent="0.25">
      <c r="A3" s="79" t="s">
        <v>321</v>
      </c>
      <c r="B3" s="79" t="s">
        <v>322</v>
      </c>
      <c r="C3" s="79" t="s">
        <v>323</v>
      </c>
      <c r="D3" s="79" t="s">
        <v>324</v>
      </c>
      <c r="E3" s="79" t="s">
        <v>325</v>
      </c>
    </row>
    <row r="4" spans="1:5" x14ac:dyDescent="0.25">
      <c r="A4" s="80" t="s">
        <v>326</v>
      </c>
      <c r="B4" s="81" t="s">
        <v>327</v>
      </c>
      <c r="C4" s="70" t="s">
        <v>328</v>
      </c>
      <c r="D4" s="70" t="s">
        <v>329</v>
      </c>
      <c r="E4" s="70" t="s">
        <v>330</v>
      </c>
    </row>
    <row r="5" spans="1:5" x14ac:dyDescent="0.25">
      <c r="A5" s="82" t="s">
        <v>331</v>
      </c>
      <c r="B5" s="83" t="s">
        <v>332</v>
      </c>
      <c r="C5" s="73" t="s">
        <v>333</v>
      </c>
      <c r="D5" s="73" t="s">
        <v>334</v>
      </c>
      <c r="E5" s="73" t="s">
        <v>335</v>
      </c>
    </row>
    <row r="6" spans="1:5" x14ac:dyDescent="0.25">
      <c r="A6" s="80" t="s">
        <v>336</v>
      </c>
      <c r="B6" s="81" t="s">
        <v>337</v>
      </c>
      <c r="C6" s="70" t="s">
        <v>338</v>
      </c>
      <c r="D6" s="70" t="s">
        <v>339</v>
      </c>
      <c r="E6" s="70" t="s">
        <v>340</v>
      </c>
    </row>
    <row r="7" spans="1:5" x14ac:dyDescent="0.25">
      <c r="A7" s="82" t="s">
        <v>341</v>
      </c>
      <c r="B7" s="83" t="s">
        <v>342</v>
      </c>
      <c r="C7" s="73" t="s">
        <v>343</v>
      </c>
      <c r="D7" s="73" t="s">
        <v>344</v>
      </c>
      <c r="E7" s="73" t="s">
        <v>345</v>
      </c>
    </row>
    <row r="8" spans="1:5" x14ac:dyDescent="0.25">
      <c r="A8" s="80" t="s">
        <v>346</v>
      </c>
      <c r="B8" s="81" t="s">
        <v>347</v>
      </c>
      <c r="C8" s="70" t="s">
        <v>348</v>
      </c>
      <c r="D8" s="70" t="s">
        <v>349</v>
      </c>
      <c r="E8" s="70" t="s">
        <v>350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Carta Gantt</vt:lpstr>
      <vt:lpstr>Hitos y Entregables</vt:lpstr>
      <vt:lpstr>Control de Cambios</vt:lpstr>
      <vt:lpstr>Guía de Uso y Edición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PrevySeg Project Management</dc:creator>
  <dc:title/>
  <dc:subject/>
  <dc:description/>
  <cp:keywords/>
  <cp:category/>
  <cp:lastModifiedBy>PrevySeg Team</cp:lastModifiedBy>
  <dcterms:created xsi:type="dcterms:W3CDTF">2026-09-01T04:00:00Z</dcterms:created>
  <dcterms:modified xsi:type="dcterms:W3CDTF">2026-09-02T14:06:21Z</dcterms:modified>
</cp:coreProperties>
</file>